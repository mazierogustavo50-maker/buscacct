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Dashboard" sheetId="2" state="visible" r:id="rId2"/>
  </sheets>
  <definedNames>
    <definedName name="_xlnm._FilterDatabase" localSheetId="0" hidden="1">'Dados'!$A$1:$Q$180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
    </font>
    <font>
      <b val="1"/>
      <color rgb="001F4E78"/>
      <sz val="16"/>
    </font>
    <font>
      <i val="1"/>
      <color rgb="00666666"/>
    </font>
    <font>
      <b val="1"/>
      <sz val="11"/>
    </font>
    <font>
      <b val="1"/>
    </font>
    <font>
      <b val="1"/>
      <sz val="10"/>
    </font>
    <font>
      <sz val="10"/>
    </font>
    <font>
      <color rgb="00666666"/>
      <sz val="9"/>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horizontal="center" vertical="center"/>
    </xf>
    <xf numFmtId="0" fontId="3" fillId="0" borderId="0" pivotButton="0" quotePrefix="0" xfId="0"/>
    <xf numFmtId="0" fontId="4" fillId="0" borderId="0" pivotButton="0" quotePrefix="0" xfId="0"/>
    <xf numFmtId="0" fontId="5" fillId="0" borderId="0" applyAlignment="1" pivotButton="0" quotePrefix="0" xfId="0">
      <alignment horizontal="right" vertical="center"/>
    </xf>
    <xf numFmtId="0" fontId="0" fillId="0" borderId="0" applyAlignment="1" pivotButton="0" quotePrefix="0" xfId="0">
      <alignment horizontal="left" vertical="center"/>
    </xf>
    <xf numFmtId="0" fontId="6" fillId="3" borderId="1" applyAlignment="1" pivotButton="0" quotePrefix="0" xfId="0">
      <alignment horizontal="right" vertical="top" wrapText="1"/>
    </xf>
    <xf numFmtId="0" fontId="7" fillId="0" borderId="1" applyAlignment="1" pivotButton="0" quotePrefix="0" xfId="0">
      <alignment horizontal="left" vertical="top" wrapText="1"/>
    </xf>
    <xf numFmtId="0" fontId="6"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0"/>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80" customWidth="1" min="3" max="3"/>
    <col width="80" customWidth="1" min="4" max="4"/>
    <col width="20" customWidth="1" min="5" max="5"/>
    <col width="20" customWidth="1" min="6" max="6"/>
    <col width="26" customWidth="1" min="7" max="7"/>
    <col width="25" customWidth="1" min="8" max="8"/>
    <col width="26" customWidth="1" min="9" max="9"/>
    <col width="1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s>
  <sheetData>
    <row r="1">
      <c r="A1" s="1" t="inlineStr">
        <is>
          <t>id</t>
        </is>
      </c>
      <c r="B1" s="1" t="inlineStr">
        <is>
          <t>nome_arquivo</t>
        </is>
      </c>
      <c r="C1" s="1" t="inlineStr">
        <is>
          <t>parte_empregados</t>
        </is>
      </c>
      <c r="D1" s="1" t="inlineStr">
        <is>
          <t>parte_empregadores</t>
        </is>
      </c>
      <c r="E1" s="1" t="inlineStr">
        <is>
          <t>cnpj_empregados</t>
        </is>
      </c>
      <c r="F1" s="1" t="inlineStr">
        <is>
          <t>cnpj_empregadores</t>
        </is>
      </c>
      <c r="G1" s="1" t="inlineStr">
        <is>
          <t>vigencia_inicio</t>
        </is>
      </c>
      <c r="H1" s="1" t="inlineStr">
        <is>
          <t>vigencia_fim</t>
        </is>
      </c>
      <c r="I1" s="1" t="inlineStr">
        <is>
          <t>data_base</t>
        </is>
      </c>
      <c r="J1" s="1" t="inlineStr">
        <is>
          <t>reajuste</t>
        </is>
      </c>
      <c r="K1" s="1" t="inlineStr">
        <is>
          <t>pisos_salariais</t>
        </is>
      </c>
      <c r="L1" s="1" t="inlineStr">
        <is>
          <t>contribuicao_empregados</t>
        </is>
      </c>
      <c r="M1" s="1" t="inlineStr">
        <is>
          <t>contribuicao_patronal</t>
        </is>
      </c>
      <c r="N1" s="1" t="inlineStr">
        <is>
          <t>beneficios</t>
        </is>
      </c>
      <c r="O1" s="1" t="inlineStr">
        <is>
          <t>jornada</t>
        </is>
      </c>
      <c r="P1" s="1" t="inlineStr">
        <is>
          <t>aviso_previo</t>
        </is>
      </c>
      <c r="Q1" s="1" t="inlineStr">
        <is>
          <t>multa</t>
        </is>
      </c>
    </row>
    <row r="2">
      <c r="A2" s="2" t="n">
        <v>1</v>
      </c>
      <c r="B2" s="2" t="inlineStr">
        <is>
          <t>100-CCT-SINDICATO DOS TRAB NAS IND DO VEST DE CVEL E REGIAO - SINDICATO DA INDUSTRIA DO VESTUARIO DO OESTE DO PARANA - SIN-01-09-2025.pdf</t>
        </is>
      </c>
      <c r="C2" s="2" t="inlineStr">
        <is>
          <t>SINDICATO DOS TRAB NAS IND DO VEST DE CVEL E REGIAO</t>
        </is>
      </c>
      <c r="D2" s="2" t="inlineStr">
        <is>
          <t>SINDICATO DA INDUSTRIA DO VESTUARIO DO OESTE DO PARANA - SINDIWEST</t>
        </is>
      </c>
      <c r="E2" s="2" t="inlineStr">
        <is>
          <t>81.273.146/0001-02</t>
        </is>
      </c>
      <c r="F2" s="2" t="inlineStr">
        <is>
          <t>78.679.891/0001-41</t>
        </is>
      </c>
      <c r="G2" s="2" t="inlineStr">
        <is>
          <t>01º de setembro de
2025</t>
        </is>
      </c>
      <c r="H2" s="2" t="inlineStr">
        <is>
          <t>31 de agosto de 2026</t>
        </is>
      </c>
      <c r="I2" s="2" t="inlineStr">
        <is>
          <t>01º de setembro de
2025</t>
        </is>
      </c>
      <c r="J2" s="2" t="inlineStr">
        <is>
          <t>5,77%</t>
        </is>
      </c>
      <c r="K2" s="2" t="inlineStr"/>
      <c r="L2" s="2"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M2" s="2" t="inlineStr"/>
      <c r="N2" s="2"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O2" s="2" t="inlineStr">
        <is>
          <t>Compensação de Jornada</t>
        </is>
      </c>
      <c r="P2" s="2" t="inlineStr"/>
      <c r="Q2" s="2" t="inlineStr">
        <is>
          <t>penalidade de 10%(dez por cento) do salário normativo por empregado, pelo</t>
        </is>
      </c>
    </row>
    <row r="3">
      <c r="A3" s="2" t="n">
        <v>2</v>
      </c>
      <c r="B3" s="2" t="inlineStr">
        <is>
          <t>100-CCT-SINDICATO DOS TRAB NAS IND DO VEST DE CVEL E REGIAO-01-09-2025.pdf</t>
        </is>
      </c>
      <c r="C3" s="2" t="inlineStr">
        <is>
          <t>SINDICATO DOS TRAB NAS IND DO VEST DE CVEL E REGIAO</t>
        </is>
      </c>
      <c r="D3" s="2" t="inlineStr">
        <is>
          <t>SINDICATO DA INDUSTRIA DO VESTUARIO DO OESTE DO PARANA - SINDIWEST</t>
        </is>
      </c>
      <c r="E3" s="2" t="inlineStr">
        <is>
          <t>81.273.146/0001-02</t>
        </is>
      </c>
      <c r="F3" s="2" t="inlineStr">
        <is>
          <t>78.679.891/0001-41</t>
        </is>
      </c>
      <c r="G3" s="2" t="inlineStr">
        <is>
          <t>01º de setembro de
2025</t>
        </is>
      </c>
      <c r="H3" s="2" t="inlineStr">
        <is>
          <t>31 de agosto de 2026</t>
        </is>
      </c>
      <c r="I3" s="2" t="inlineStr">
        <is>
          <t>01º de setembro de
2025</t>
        </is>
      </c>
      <c r="J3" s="2" t="inlineStr">
        <is>
          <t>5,77%</t>
        </is>
      </c>
      <c r="K3" s="2" t="inlineStr"/>
      <c r="L3" s="2" t="inlineStr">
        <is>
          <t>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t>
        </is>
      </c>
      <c r="M3" s="2" t="inlineStr"/>
      <c r="N3" s="2" t="inlineStr">
        <is>
          <t>**Auxílio Transporte / Vale-transporte**: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**Plano de Saúde / Assistência Médica**: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
**Seguro de Vida**: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
**Bolsa / Estudo**:
estudantes)
**Diárias / Ressarcimento**:
diárias na forma do parágrafo 2º do artigo 59 da CLT, com alterações atuais, desde que o acordo seja homologado pelo Sindicato Profissional.
**Descanso Semanal Remunerado**: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t>
        </is>
      </c>
      <c r="O3" s="2" t="inlineStr">
        <is>
          <t>Compensação de Jornada</t>
        </is>
      </c>
      <c r="P3" s="2" t="inlineStr"/>
      <c r="Q3" s="2" t="inlineStr">
        <is>
          <t>penalidade de 10%(dez por cento) do salário normativo por empregado, pelo</t>
        </is>
      </c>
    </row>
    <row r="4">
      <c r="A4" s="2" t="n">
        <v>3</v>
      </c>
      <c r="B4" s="2" t="inlineStr">
        <is>
          <t>110-CCT-SINDICATO DOS EMPREGADOS NOCOMERCIO DO EXTREMOESTE SC - SINDICATO DO COMERCIO VAREJISTA E ATACADISTA DO EXTREMO OEST-01-05-2026.pdf</t>
        </is>
      </c>
      <c r="C4" s="2" t="inlineStr">
        <is>
          <t>SINDICATO DOS EMPREGADOS NOCOMERCIO DO EXTREMOESTE SC</t>
        </is>
      </c>
      <c r="D4" s="2" t="inlineStr">
        <is>
          <t>SINDICATO DO COMERCIO VAREJISTA E ATACADISTA DO EXTREMO OESTE DE SC</t>
        </is>
      </c>
      <c r="E4" s="2" t="inlineStr">
        <is>
          <t>78.472.032/0001-87</t>
        </is>
      </c>
      <c r="F4" s="2" t="inlineStr">
        <is>
          <t>78.471.745/0001-26</t>
        </is>
      </c>
      <c r="G4" s="2" t="inlineStr">
        <is>
          <t>01º de maio de 2026</t>
        </is>
      </c>
      <c r="H4" s="2" t="inlineStr">
        <is>
          <t>30 de abril de 2028</t>
        </is>
      </c>
      <c r="I4" s="2" t="inlineStr">
        <is>
          <t>01º de maio de 2026</t>
        </is>
      </c>
      <c r="J4" s="2" t="inlineStr">
        <is>
          <t>5,50%</t>
        </is>
      </c>
      <c r="K4" s="2" t="inlineStr"/>
      <c r="L4" s="2"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M4" s="2" t="inlineStr"/>
      <c r="N4" s="2"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O4" s="2" t="inlineStr"/>
      <c r="P4" s="2" t="inlineStr"/>
      <c r="Q4" s="2" t="inlineStr"/>
    </row>
    <row r="5">
      <c r="A5" s="2" t="n">
        <v>4</v>
      </c>
      <c r="B5" s="2" t="inlineStr">
        <is>
          <t>110-CCT-SINDICATO DOS EMPREGADOS NOCOMERCIO DO EXTREMOESTE SC-01-05-2026.pdf</t>
        </is>
      </c>
      <c r="C5" s="2" t="inlineStr">
        <is>
          <t>SINDICATO DOS EMPREGADOS NOCOMERCIO DO EXTREMOESTE SC</t>
        </is>
      </c>
      <c r="D5" s="2" t="inlineStr">
        <is>
          <t>SINDICATO DO COMERCIO VAREJISTA E ATACADISTA DO EXTREMO OESTE DE SC</t>
        </is>
      </c>
      <c r="E5" s="2" t="inlineStr">
        <is>
          <t>78.472.032/0001-87</t>
        </is>
      </c>
      <c r="F5" s="2" t="inlineStr">
        <is>
          <t>78.471.745/0001-26</t>
        </is>
      </c>
      <c r="G5" s="2" t="inlineStr">
        <is>
          <t>01º de maio de 2026</t>
        </is>
      </c>
      <c r="H5" s="2" t="inlineStr">
        <is>
          <t>30 de abril de 2028</t>
        </is>
      </c>
      <c r="I5" s="2" t="inlineStr">
        <is>
          <t>01º de maio de 2026</t>
        </is>
      </c>
      <c r="J5" s="2" t="inlineStr">
        <is>
          <t>5,50%</t>
        </is>
      </c>
      <c r="K5" s="2" t="inlineStr"/>
      <c r="L5" s="2" t="inlineStr">
        <is>
          <t>1% - CONTRIBUIÇÃO NEGOCIAL PATRONAL: As empresas abrangidas pela presente convenção, com vigência até 30/04/2028, conforme preceito legal estabelecido na alínea “e” do art. 513 da CLT e assembleia geral, recolherão o valor equivalente a 1% (um por cento) do total bruto da folha de pagamento, limitado ao ...</t>
        </is>
      </c>
      <c r="M5" s="2" t="inlineStr"/>
      <c r="N5" s="2" t="inlineStr">
        <is>
          <t>**Auxílio Creche**: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
**Bolsa / Estudo**: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Para os supermercados, merca...
**Diárias / Ressarcimento**: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P...
**Adicional Noturno**:
Adicional Noturno
**Horas Extras**:
hora extra, independentemente de acordo escrito, desde que o horário semanal não ultrapasse às 44 (quarenta e quatro) horas. Prorrogação/Redução de Jornada
**Descanso Semanal Remunerado**:
repouso semanal. Saúde e Segurança do Trabalhador Condições de Ambiente de Trabalho
**Abono de Faltas**: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**FGTS**:
FGTS.</t>
        </is>
      </c>
      <c r="O5" s="2" t="inlineStr"/>
      <c r="P5" s="2" t="inlineStr"/>
      <c r="Q5" s="2" t="inlineStr"/>
    </row>
    <row r="6">
      <c r="A6" s="2" t="n">
        <v>5</v>
      </c>
      <c r="B6" s="2" t="inlineStr">
        <is>
          <t>110-TA-CCT-SINDICATO DOS EMPREGADOS NOCOMERCIO DO EXTREMOESTE SC - SINDICATO DO COMERCIO VAREJISTA E ATACADISTA DO EXTREMO OEST-01-05-2026.pdf</t>
        </is>
      </c>
      <c r="C6" s="2" t="inlineStr">
        <is>
          <t>SINDICATO DOS EMPREGADOS NOCOMERCIO DO EXTREMOESTE SC</t>
        </is>
      </c>
      <c r="D6" s="2" t="inlineStr">
        <is>
          <t>SINDICATO DO COMERCIO VAREJISTA E ATACADISTA DO EXTREMO OESTE DE SC</t>
        </is>
      </c>
      <c r="E6" s="2" t="inlineStr">
        <is>
          <t>78.472.032/0001-87</t>
        </is>
      </c>
      <c r="F6" s="2" t="inlineStr">
        <is>
          <t>78.471.745/0001-26</t>
        </is>
      </c>
      <c r="G6" s="2" t="inlineStr">
        <is>
          <t>01º
de maio de 2026</t>
        </is>
      </c>
      <c r="H6" s="2" t="inlineStr">
        <is>
          <t>30 de abril de 2028</t>
        </is>
      </c>
      <c r="I6" s="2" t="inlineStr">
        <is>
          <t>01º
de maio de 2026</t>
        </is>
      </c>
      <c r="J6" s="2" t="inlineStr"/>
      <c r="K6" s="2" t="inlineStr"/>
      <c r="L6" s="2" t="inlineStr"/>
      <c r="M6" s="2" t="inlineStr"/>
      <c r="N6" s="2" t="inlineStr">
        <is>
          <t>Não especificado</t>
        </is>
      </c>
      <c r="O6" s="2" t="inlineStr"/>
      <c r="P6" s="2" t="inlineStr"/>
      <c r="Q6" s="2" t="inlineStr"/>
    </row>
    <row r="7">
      <c r="A7" s="2" t="n">
        <v>6</v>
      </c>
      <c r="B7" s="2" t="inlineStr">
        <is>
          <t>110-TA-CCT-SINDICATO DOS EMPREGADOS NOCOMERCIO DO EXTREMOESTE SC-01-05-2026.pdf</t>
        </is>
      </c>
      <c r="C7" s="2" t="inlineStr">
        <is>
          <t>SINDICATO DOS EMPREGADOS NOCOMERCIO DO EXTREMOESTE SC</t>
        </is>
      </c>
      <c r="D7" s="2" t="inlineStr">
        <is>
          <t>SINDICATO DO COMERCIO VAREJISTA E ATACADISTA DO EXTREMO OESTE DE SC</t>
        </is>
      </c>
      <c r="E7" s="2" t="inlineStr">
        <is>
          <t>78.472.032/0001-87</t>
        </is>
      </c>
      <c r="F7" s="2" t="inlineStr">
        <is>
          <t>78.471.745/0001-26</t>
        </is>
      </c>
      <c r="G7" s="2" t="inlineStr">
        <is>
          <t>01º
de maio de 2026</t>
        </is>
      </c>
      <c r="H7" s="2" t="inlineStr">
        <is>
          <t>30 de abril de 2028</t>
        </is>
      </c>
      <c r="I7" s="2" t="inlineStr">
        <is>
          <t>01º
de maio de 2026</t>
        </is>
      </c>
      <c r="J7" s="2" t="inlineStr"/>
      <c r="K7" s="2" t="inlineStr"/>
      <c r="L7" s="2" t="inlineStr"/>
      <c r="M7" s="2" t="inlineStr"/>
      <c r="N7" s="2" t="inlineStr">
        <is>
          <t>Não especificado</t>
        </is>
      </c>
      <c r="O7" s="2" t="inlineStr"/>
      <c r="P7" s="2" t="inlineStr"/>
      <c r="Q7" s="2" t="inlineStr"/>
    </row>
    <row r="8">
      <c r="A8" s="2" t="n">
        <v>7</v>
      </c>
      <c r="B8" s="2" t="inlineStr">
        <is>
          <t>111-CCT-SINDICATO DOS TRABALHADORES NAS INDUSTRIAS DA FIACAO, TECELAGEM E VESTUARIO DE CHAPECO E OESTE DE SANTA CATARINA - SINDICATO DAS IND DO VESTUARIO DO OESTE DE SC-01-02-2026.pdf</t>
        </is>
      </c>
      <c r="C8" s="2" t="inlineStr">
        <is>
          <t>SINDICATO DOS TRABALHADORES NAS INDUSTRIAS DA FIACAO, TECELAGEM E VESTUARIO DE CHAPECO E OESTE DE SANTA CATARINA</t>
        </is>
      </c>
      <c r="D8" s="2" t="inlineStr">
        <is>
          <t>SINDICATO DAS IND DO VESTUARIO DO OESTE DE SC</t>
        </is>
      </c>
      <c r="E8" s="2" t="inlineStr">
        <is>
          <t>80.622.202/0001-04</t>
        </is>
      </c>
      <c r="F8" s="2" t="inlineStr">
        <is>
          <t>80.626.237/0001-11</t>
        </is>
      </c>
      <c r="G8" s="2" t="inlineStr">
        <is>
          <t>01º de fevereiro de
2026</t>
        </is>
      </c>
      <c r="H8" s="2" t="inlineStr">
        <is>
          <t>31 de janeiro de 2027</t>
        </is>
      </c>
      <c r="I8" s="2" t="inlineStr">
        <is>
          <t>01º de fevereiro de
2026</t>
        </is>
      </c>
      <c r="J8" s="2" t="inlineStr">
        <is>
          <t>3,50%</t>
        </is>
      </c>
      <c r="K8" s="2" t="inlineStr"/>
      <c r="L8" s="2"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M8" s="2" t="inlineStr"/>
      <c r="N8"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O8" s="2" t="inlineStr"/>
      <c r="P8" s="2" t="inlineStr"/>
      <c r="Q8" s="2" t="inlineStr"/>
    </row>
    <row r="9">
      <c r="A9" s="2" t="n">
        <v>8</v>
      </c>
      <c r="B9" s="2" t="inlineStr">
        <is>
          <t>111-CCT-SINDICATO DOS TRABALHADORES NAS INDUSTRIAS DA FIACAO, TECELAGEM E VESTUARIO DE CHAPECO E OESTE DE SANTA CATARINA - SINDICATO DAS INDUSTRIAS DO VESTUARIO, FIACAO, TECELAGEM, CA-01-01-2026.pdf</t>
        </is>
      </c>
      <c r="C9" s="2" t="inlineStr">
        <is>
          <t>SINDICATO DOS TRABALHADORES NAS INDUSTRIAS DA FIACAO, TECELAGEM E VESTUARIO DE CHAPECO E OESTE DE SANTA CATARINA</t>
        </is>
      </c>
      <c r="D9" s="2" t="inlineStr">
        <is>
          <t>SINDICATO DAS INDUSTRIAS DO VESTUARIO, FIACAO, TECELAGEM, CA</t>
        </is>
      </c>
      <c r="E9" s="2" t="inlineStr">
        <is>
          <t>80.622.202/0001-04</t>
        </is>
      </c>
      <c r="F9" s="2" t="inlineStr"/>
      <c r="G9" s="2" t="inlineStr">
        <is>
          <t>01º de janeiro de
2026</t>
        </is>
      </c>
      <c r="H9" s="2" t="inlineStr">
        <is>
          <t>31 de dezembro de 2026</t>
        </is>
      </c>
      <c r="I9" s="2" t="inlineStr">
        <is>
          <t>01º de janeiro de
2026</t>
        </is>
      </c>
      <c r="J9" s="2" t="inlineStr">
        <is>
          <t>5,00%</t>
        </is>
      </c>
      <c r="K9" s="2" t="inlineStr"/>
      <c r="L9" s="2"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M9" s="2" t="inlineStr"/>
      <c r="N9"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O9" s="2" t="inlineStr">
        <is>
          <t>Compensação de Jornada</t>
        </is>
      </c>
      <c r="P9" s="2" t="inlineStr"/>
      <c r="Q9" s="2" t="inlineStr"/>
    </row>
    <row r="10">
      <c r="A10" s="2" t="n">
        <v>9</v>
      </c>
      <c r="B10" s="2" t="inlineStr">
        <is>
          <t>111-CCT-SINDICATO DOS TRABALHADORES NAS INDUSTRIAS DA FIACAO, TECELAGEM E VESTUARIO DE CHAPECO E OESTE DE SANTA CATARINA-01-01-2026.pdf</t>
        </is>
      </c>
      <c r="C10" s="2" t="inlineStr">
        <is>
          <t>SINDICATO DOS TRABALHADORES NAS INDUSTRIAS DA FIACAO, TECELAGEM E VESTUARIO DE CHAPECO E OESTE DE SANTA CATARINA</t>
        </is>
      </c>
      <c r="D10" s="2" t="inlineStr">
        <is>
          <t>SINDICATO DAS INDUSTRIAS DO VESTUARIO, FIACAO, TECELAGEM, CA</t>
        </is>
      </c>
      <c r="E10" s="2" t="inlineStr">
        <is>
          <t>80.622.202/0001-04</t>
        </is>
      </c>
      <c r="F10" s="2" t="inlineStr"/>
      <c r="G10" s="2" t="inlineStr">
        <is>
          <t>01º de janeiro de
2026</t>
        </is>
      </c>
      <c r="H10" s="2" t="inlineStr">
        <is>
          <t>31 de dezembro de 2026</t>
        </is>
      </c>
      <c r="I10" s="2" t="inlineStr">
        <is>
          <t>01º de janeiro de
2026</t>
        </is>
      </c>
      <c r="J10" s="2" t="inlineStr">
        <is>
          <t>5,00%</t>
        </is>
      </c>
      <c r="K10" s="2" t="inlineStr"/>
      <c r="L10" s="2" t="inlineStr">
        <is>
          <t xml:space="preserve">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t>
        </is>
      </c>
      <c r="M10" s="2" t="inlineStr"/>
      <c r="N10"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**Diárias / Ressarcimento**:
diárias, conforme as necessidades e peculiaridades das mesmas. Parágrafo único - Os acordos individuais ou coletivos de trabalho visando o intervalo para repouso e alimentação, referida no caput da presente
**Horas Extras**: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**Descanso Semanal Remunerado**:
repouso semanal. (Tendência Normativa nº. 05 do TRT/SC.) Saúde e Segurança do Trabalhador Equipamentos de Segurança</t>
        </is>
      </c>
      <c r="O10" s="2" t="inlineStr">
        <is>
          <t>Compensação de Jornada</t>
        </is>
      </c>
      <c r="P10" s="2" t="inlineStr"/>
      <c r="Q10" s="2" t="inlineStr"/>
    </row>
    <row r="11">
      <c r="A11" s="2" t="n">
        <v>10</v>
      </c>
      <c r="B11" s="2" t="inlineStr">
        <is>
          <t>111-CCT-SINDICATO DOS TRABALHADORES NAS INDUSTRIAS DA FIACAO, TECELAGEM E VESTUARIO DE CHAPECO E OESTE DE SANTA CATARINA-01-02-2026.pdf</t>
        </is>
      </c>
      <c r="C11" s="2" t="inlineStr">
        <is>
          <t>SINDICATO DOS TRABALHADORES NAS INDUSTRIAS DA FIACAO, TECELAGEM E VESTUARIO DE CHAPECO E OESTE DE SANTA CATARINA</t>
        </is>
      </c>
      <c r="D11" s="2" t="inlineStr">
        <is>
          <t>SINDICATO DAS IND DO VESTUARIO DO OESTE DE SC</t>
        </is>
      </c>
      <c r="E11" s="2" t="inlineStr">
        <is>
          <t>80.622.202/0001-04</t>
        </is>
      </c>
      <c r="F11" s="2" t="inlineStr">
        <is>
          <t>80.626.237/0001-11</t>
        </is>
      </c>
      <c r="G11" s="2" t="inlineStr">
        <is>
          <t>01º de fevereiro de
2026</t>
        </is>
      </c>
      <c r="H11" s="2" t="inlineStr">
        <is>
          <t>31 de janeiro de 2027</t>
        </is>
      </c>
      <c r="I11" s="2" t="inlineStr">
        <is>
          <t>01º de fevereiro de
2026</t>
        </is>
      </c>
      <c r="J11" s="2" t="inlineStr">
        <is>
          <t>3,50%</t>
        </is>
      </c>
      <c r="K11" s="2" t="inlineStr"/>
      <c r="L11" s="2" t="inlineStr">
        <is>
          <t>14%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t>
        </is>
      </c>
      <c r="M11" s="2" t="inlineStr"/>
      <c r="N11" s="2" t="inlineStr">
        <is>
          <t>**Plano de Saúde / Assistência Médica**:
assistência médica, gastos em bares ou lanchonete de associação de funcionários, habitação, compras em supermercados e seguros de vida em grupo. Outras normas referentes a salários, reajustes, pagamentos e critérios para cálculo
**Horas Extras**: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
**Descanso Semanal Remunerado**:
repouso semanal. (Tendência Normativa nº. 05 do TRT/SC.) Saúde e Segurança do Trabalhador Equipamentos de Segurança</t>
        </is>
      </c>
      <c r="O11" s="2" t="inlineStr"/>
      <c r="P11" s="2" t="inlineStr"/>
      <c r="Q11" s="2" t="inlineStr"/>
    </row>
    <row r="12">
      <c r="A12" s="2" t="n">
        <v>11</v>
      </c>
      <c r="B12" s="2" t="inlineStr">
        <is>
          <t>111-TA-CCT-SINDICATO DOS TRABALHADORES NAS INDUSTRIAS DA FIACAO, TECELAGEM E VESTUARIO DE CHAPECO E OESTE DE SANTA CATARINA - SINDICATO DAS IND DO VESTUARIO DO OESTE DE SC-01-02-2026.pdf</t>
        </is>
      </c>
      <c r="C12" s="2" t="inlineStr">
        <is>
          <t>SINDICATO DOS TRABALHADORES NAS INDUSTRIAS DA FIACAO, TECELAGEM E VESTUARIO DE CHAPECO E OESTE DE SANTA CATARINA</t>
        </is>
      </c>
      <c r="D12" s="2" t="inlineStr">
        <is>
          <t>SINDICATO DAS IND DO VESTUARIO DO OESTE DE SC</t>
        </is>
      </c>
      <c r="E12" s="2" t="inlineStr">
        <is>
          <t>80.622.202/0001-04</t>
        </is>
      </c>
      <c r="F12" s="2" t="inlineStr">
        <is>
          <t>80.626.237/0001-11</t>
        </is>
      </c>
      <c r="G12" s="2" t="inlineStr">
        <is>
          <t>01º
de fevereiro de 2026</t>
        </is>
      </c>
      <c r="H12" s="2" t="inlineStr">
        <is>
          <t>31 de janeiro de 2027</t>
        </is>
      </c>
      <c r="I12" s="2" t="inlineStr">
        <is>
          <t>01º
de fevereiro de 2026</t>
        </is>
      </c>
      <c r="J12" s="2" t="inlineStr"/>
      <c r="K12" s="2" t="inlineStr"/>
      <c r="L12" s="2" t="inlineStr"/>
      <c r="M12" s="2" t="inlineStr"/>
      <c r="N12" s="2" t="inlineStr">
        <is>
          <t>Não especificado</t>
        </is>
      </c>
      <c r="O12" s="2" t="inlineStr"/>
      <c r="P12" s="2" t="inlineStr"/>
      <c r="Q12" s="2" t="inlineStr"/>
    </row>
    <row r="13">
      <c r="A13" s="2" t="n">
        <v>12</v>
      </c>
      <c r="B13" s="2" t="inlineStr">
        <is>
          <t>111-TA-CCT-SINDICATO DOS TRABALHADORES NAS INDUSTRIAS DA FIACAO, TECELAGEM E VESTUARIO DE CHAPECO E OESTE DE SANTA CATARINA-01-02-2026.pdf</t>
        </is>
      </c>
      <c r="C13" s="2" t="inlineStr">
        <is>
          <t>SINDICATO DOS TRABALHADORES NAS INDUSTRIAS DA FIACAO, TECELAGEM E VESTUARIO DE CHAPECO E OESTE DE SANTA CATARINA</t>
        </is>
      </c>
      <c r="D13" s="2" t="inlineStr">
        <is>
          <t>SINDICATO DAS IND DO VESTUARIO DO OESTE DE SC</t>
        </is>
      </c>
      <c r="E13" s="2" t="inlineStr">
        <is>
          <t>80.622.202/0001-04</t>
        </is>
      </c>
      <c r="F13" s="2" t="inlineStr">
        <is>
          <t>80.626.237/0001-11</t>
        </is>
      </c>
      <c r="G13" s="2" t="inlineStr">
        <is>
          <t>01º
de fevereiro de 2026</t>
        </is>
      </c>
      <c r="H13" s="2" t="inlineStr">
        <is>
          <t>31 de janeiro de 2027</t>
        </is>
      </c>
      <c r="I13" s="2" t="inlineStr">
        <is>
          <t>01º
de fevereiro de 2026</t>
        </is>
      </c>
      <c r="J13" s="2" t="inlineStr"/>
      <c r="K13" s="2" t="inlineStr"/>
      <c r="L13" s="2" t="inlineStr"/>
      <c r="M13" s="2" t="inlineStr"/>
      <c r="N13" s="2" t="inlineStr">
        <is>
          <t>Não especificado</t>
        </is>
      </c>
      <c r="O13" s="2" t="inlineStr"/>
      <c r="P13" s="2" t="inlineStr"/>
      <c r="Q13" s="2" t="inlineStr"/>
    </row>
    <row r="14">
      <c r="A14" s="2" t="n">
        <v>13</v>
      </c>
      <c r="B14" s="2" t="inlineStr">
        <is>
          <t>111-TA-CCT-SINDICATO DOS TRABALHADORES NAS INDUSTRIAS DA FIACAO, TECELAGEM E VESTUARIO DE CHAPECO E OESTE DE SANTA CATARINA-01-05-2026.pdf</t>
        </is>
      </c>
      <c r="C14" s="2" t="inlineStr">
        <is>
          <t>VICAGUI COMERCIAL LTDA</t>
        </is>
      </c>
      <c r="D14" s="2" t="inlineStr">
        <is>
          <t>SINDICATO DOS TRABALHADORES NAS INDUSTRIAS DA FIACAO, TECELAGEM E VESTUARIO DE CHAPECO E OESTE DE SANTA CATARINA</t>
        </is>
      </c>
      <c r="E14" s="2" t="inlineStr">
        <is>
          <t>21.257.412/0001-81</t>
        </is>
      </c>
      <c r="F14" s="2" t="inlineStr">
        <is>
          <t>80.622.202/0001-04</t>
        </is>
      </c>
      <c r="G14" s="2" t="inlineStr">
        <is>
          <t>01º de
maio de 2026</t>
        </is>
      </c>
      <c r="H14" s="2" t="inlineStr">
        <is>
          <t>31 de dezembro de 2026</t>
        </is>
      </c>
      <c r="I14" s="2" t="inlineStr">
        <is>
          <t>01º de
maio de 2026</t>
        </is>
      </c>
      <c r="J14" s="2" t="inlineStr"/>
      <c r="K14" s="2" t="inlineStr"/>
      <c r="L14" s="2" t="inlineStr"/>
      <c r="M14" s="2" t="inlineStr"/>
      <c r="N14" s="2" t="inlineStr">
        <is>
          <t>Não especificado</t>
        </is>
      </c>
      <c r="O14" s="2" t="inlineStr"/>
      <c r="P14" s="2" t="inlineStr"/>
      <c r="Q14" s="2" t="inlineStr"/>
    </row>
    <row r="15">
      <c r="A15" s="2" t="n">
        <v>14</v>
      </c>
      <c r="B15" s="2" t="inlineStr">
        <is>
          <t>114-CCT-SINDICATO DOS EMPREGADOS NO COMERCIO DE TOLEDO - FEDERACAO DO COMERCIO DE BENS, SERVICOS E TURISMO DO PARANA-01-06-2025.pdf</t>
        </is>
      </c>
      <c r="C15" s="2" t="inlineStr">
        <is>
          <t>SINDICATO DOS EMPREGADOS NO COMERCIO DE TOLEDO</t>
        </is>
      </c>
      <c r="D15" s="2" t="inlineStr">
        <is>
          <t>FEDERACAO DO COMERCIO DE BENS, SERVICOS E TURISMO DO PARANA</t>
        </is>
      </c>
      <c r="E15" s="2" t="inlineStr">
        <is>
          <t>78.115.524/0001-15</t>
        </is>
      </c>
      <c r="F15" s="2" t="inlineStr">
        <is>
          <t>02.818.811/0001-20</t>
        </is>
      </c>
      <c r="G15" s="2" t="inlineStr">
        <is>
          <t>01º de junho de
2025</t>
        </is>
      </c>
      <c r="H15" s="2" t="inlineStr">
        <is>
          <t>31 de maio de 2026</t>
        </is>
      </c>
      <c r="I15" s="2" t="inlineStr">
        <is>
          <t>01º de junho de
2025</t>
        </is>
      </c>
      <c r="J15" s="2" t="inlineStr">
        <is>
          <t>5,70%</t>
        </is>
      </c>
      <c r="K15" s="2"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L15" s="2" t="inlineStr"/>
      <c r="M15" s="2" t="inlineStr"/>
      <c r="N15" s="2"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t>
        </is>
      </c>
      <c r="O15" s="2" t="inlineStr">
        <is>
          <t>Compensação de Jornada</t>
        </is>
      </c>
      <c r="P15" s="2" t="inlineStr">
        <is>
          <t>aviso prévio indenizado, adotar-</t>
        </is>
      </c>
      <c r="Q15" s="2" t="inlineStr">
        <is>
          <t>penalidade prevista na cláusula 43ª desta Convenção</t>
        </is>
      </c>
    </row>
    <row r="16">
      <c r="A16" s="2" t="n">
        <v>15</v>
      </c>
      <c r="B16" s="2" t="inlineStr">
        <is>
          <t>114-CCT-SINDICATO DOS EMPREGADOS NO COMERCIO DE TOLEDO - SIND DOS ESTABELECIMENTOS DE SERV FUNERARIO EST PARANA-01-06-2024.pdf</t>
        </is>
      </c>
      <c r="C16" s="2" t="inlineStr">
        <is>
          <t>SINDICATO DOS EMPREGADOS NO COMERCIO DE TOLEDO</t>
        </is>
      </c>
      <c r="D16" s="2" t="inlineStr">
        <is>
          <t>SIND DOS ESTABELECIMENTOS DE SERV FUNERARIO EST PARANA</t>
        </is>
      </c>
      <c r="E16" s="2" t="inlineStr">
        <is>
          <t>78.115.524/0001-15</t>
        </is>
      </c>
      <c r="F16" s="2" t="inlineStr">
        <is>
          <t>78.206.786/0001-95</t>
        </is>
      </c>
      <c r="G16" s="2" t="inlineStr">
        <is>
          <t>01º de junho de
2024</t>
        </is>
      </c>
      <c r="H16" s="2" t="inlineStr">
        <is>
          <t>31 de maio de 2026</t>
        </is>
      </c>
      <c r="I16" s="2" t="inlineStr">
        <is>
          <t>01º de junho de
2024</t>
        </is>
      </c>
      <c r="J16" s="2" t="inlineStr">
        <is>
          <t>5,00%</t>
        </is>
      </c>
      <c r="K16" s="2"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16" s="2" t="inlineStr"/>
      <c r="M16" s="2" t="inlineStr"/>
      <c r="N16" s="2"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16" s="2" t="inlineStr">
        <is>
          <t>Compensação de Jornada</t>
        </is>
      </c>
      <c r="P16" s="2" t="inlineStr">
        <is>
          <t>aviso prévio indenizado, adotar-</t>
        </is>
      </c>
      <c r="Q16" s="2" t="inlineStr">
        <is>
          <t>penalidade prevista na cláusula 43ª desta Convenção</t>
        </is>
      </c>
    </row>
    <row r="17">
      <c r="A17" s="2" t="n">
        <v>16</v>
      </c>
      <c r="B17" s="2" t="inlineStr">
        <is>
          <t>114-CCT-SINDICATO DOS EMPREGADOS NO COMERCIO DE TOLEDO - SINDICATO DAS EMPRESAS CEREALISTAS DO ESTADO DO PARANA - SIN-01-06-2025.pdf</t>
        </is>
      </c>
      <c r="C17" s="2" t="inlineStr">
        <is>
          <t>SINDICATO DOS EMPREGADOS NO COMERCIO DE TOLEDO</t>
        </is>
      </c>
      <c r="D17" s="2" t="inlineStr">
        <is>
          <t>SINDICATO DAS EMPRESAS CEREALISTAS DO ESTADO DO PARANA - SINDICEREAL-PR</t>
        </is>
      </c>
      <c r="E17" s="2" t="inlineStr">
        <is>
          <t>78.115.524/0001-15</t>
        </is>
      </c>
      <c r="F17" s="2" t="inlineStr">
        <is>
          <t>15.106.815/0001-27</t>
        </is>
      </c>
      <c r="G17" s="2" t="inlineStr">
        <is>
          <t>01º de junho de
2025</t>
        </is>
      </c>
      <c r="H17" s="2" t="inlineStr">
        <is>
          <t>31 de maio de 2026</t>
        </is>
      </c>
      <c r="I17" s="2" t="inlineStr">
        <is>
          <t>01º de junho de
2025</t>
        </is>
      </c>
      <c r="J17" s="2" t="inlineStr">
        <is>
          <t>6,20%</t>
        </is>
      </c>
      <c r="K17" s="2" t="inlineStr"/>
      <c r="L17" s="2" t="inlineStr"/>
      <c r="M17" s="2" t="inlineStr"/>
      <c r="N17" s="2"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17" s="2" t="inlineStr">
        <is>
          <t>jornada de trabalho inferior as 44
horas semanais, o valor do Vale Alimentação será equivalente ao número de horas diárias de | banco de horas, cada hora extra</t>
        </is>
      </c>
      <c r="P17" s="2" t="inlineStr">
        <is>
          <t>aviso prévio indenizado pelo empregado ou pelo empregador, o</t>
        </is>
      </c>
      <c r="Q17" s="2" t="inlineStr"/>
    </row>
    <row r="18">
      <c r="A18" s="2" t="n">
        <v>17</v>
      </c>
      <c r="B18" s="2" t="inlineStr">
        <is>
          <t>114-CCT-SINDICATO DOS EMPREGADOS NO COMERCIO DE TOLEDO - SINDICATO DO COMERCIO VAREJISTA DE MATERIAL OPTICO, FOTOGRAF-01-06-2025.pdf</t>
        </is>
      </c>
      <c r="C18" s="2" t="inlineStr">
        <is>
          <t>SINDICATO DOS EMPREGADOS NO COMERCIO DE TOLEDO</t>
        </is>
      </c>
      <c r="D18" s="2" t="inlineStr">
        <is>
          <t>SINDICATO DO COMERCIO VAREJISTA DE MATERIAL OPTICO, FOTOGRAF</t>
        </is>
      </c>
      <c r="E18" s="2" t="inlineStr">
        <is>
          <t>78.115.524/0001-15</t>
        </is>
      </c>
      <c r="F18" s="2" t="inlineStr">
        <is>
          <t>80.920.085/0001-65</t>
        </is>
      </c>
      <c r="G18" s="2" t="inlineStr">
        <is>
          <t>01º de junho de
2025</t>
        </is>
      </c>
      <c r="H18" s="2" t="inlineStr">
        <is>
          <t>31 de maio de 2026</t>
        </is>
      </c>
      <c r="I18" s="2" t="inlineStr">
        <is>
          <t>01º de junho de
2025</t>
        </is>
      </c>
      <c r="J18" s="2" t="inlineStr">
        <is>
          <t>5,70%</t>
        </is>
      </c>
      <c r="K18" s="2" t="inlineStr">
        <is>
          <t>A) Aos empregados lotados na função de pacoteiro –: R$ 1.691,52
B) Aos empregados lotados nas funções de copa, cozinha, limpeza, portaria, contínuos e “office-boys” -: R$ 1.829,00
C) Aos demais empregados -: R$ 2.037,89
D) Aos empregados comissionistas com mais de 90 (noventa) dias de trabalho ao mesmo empregador, caso as comissões não alcancem valor correspondente, assegura-se uma garantia salarial mínima de: R$ 2.037,89</t>
        </is>
      </c>
      <c r="L18" s="2" t="inlineStr"/>
      <c r="M18" s="2" t="inlineStr"/>
      <c r="N18" s="2" t="inlineStr">
        <is>
          <t>**Refeição / Alimentação (VA/VR)**:
refeição fornecida pelo empregador ou a um pagamento no valor de R$ 34,51 (Trinta e Quatro Reais e Cinquenta e Um Centavos) por dia em que ocorrer tal situação. Tal parcela terá natureza indenizatória. Férias e Licenças Remuneração de Férias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t>
        </is>
      </c>
      <c r="O18" s="2" t="inlineStr">
        <is>
          <t>Compensação de Jornada</t>
        </is>
      </c>
      <c r="P18" s="2" t="inlineStr">
        <is>
          <t>aviso
prévio indenizado, adotar-se-á a média das comissões nos doze meses anteriores ao mês da</t>
        </is>
      </c>
      <c r="Q18" s="2" t="inlineStr"/>
    </row>
    <row r="19">
      <c r="A19" s="2" t="n">
        <v>18</v>
      </c>
      <c r="B19" s="2" t="inlineStr">
        <is>
          <t>114-CCT-SINDICATO DOS EMPREGADOS NO COMERCIO DE TOLEDO - SINDICATO DO COMERCIO VAREJISTA DE TOLEDO-01-06-2025.pdf</t>
        </is>
      </c>
      <c r="C19" s="2" t="inlineStr">
        <is>
          <t>SINDICATO DOS EMPREGADOS NO COMERCIO DE TOLEDO</t>
        </is>
      </c>
      <c r="D19" s="2" t="inlineStr">
        <is>
          <t>SINDICATO DO COMERCIO VAREJISTA DE TOLEDO</t>
        </is>
      </c>
      <c r="E19" s="2" t="inlineStr">
        <is>
          <t>78.115.524/0001-15</t>
        </is>
      </c>
      <c r="F19" s="2" t="inlineStr">
        <is>
          <t>78.679.594/0001-04</t>
        </is>
      </c>
      <c r="G19" s="2" t="inlineStr">
        <is>
          <t>01º de junho de
2025</t>
        </is>
      </c>
      <c r="H19" s="2" t="inlineStr">
        <is>
          <t>31 de maio de 2026</t>
        </is>
      </c>
      <c r="I19" s="2" t="inlineStr">
        <is>
          <t>01º de junho de
2025</t>
        </is>
      </c>
      <c r="J19" s="2" t="inlineStr"/>
      <c r="K19" s="2" t="inlineStr">
        <is>
          <t>A) Aos empregados que exerçam a função de empacotador, fica assegurado o piso salarial de: R$ 1.583,44
B) Aos empregados que exerçam as funções de Copa, Cozinha, Limpeza, Contínuos, Office- boys, Repositor, Porteiros, Auxiliar de Açougueiro, Auxiliar de Panificação e Auxiliar de Confeiteiro o piso salarial de: R$ 1.828,76
C) Aos demais empregados, fica assegurado o piso salarial de: R$ 2.020,00</t>
        </is>
      </c>
      <c r="L19" s="2" t="inlineStr">
        <is>
          <t>contribuição negocial patronal, criada com força de lei, conforme caput do artigo 611 “A “ da CLT, uma vez que são beneficiárias diretas do presente instrumento coletivo. PARÁGRAFO TERCEIRO: O recolhimento deve ser feito por estabelecimento/unidade/CNPJ, ou seja, as empresas que possuem vários estab</t>
        </is>
      </c>
      <c r="M19" s="2" t="inlineStr"/>
      <c r="N19" s="2" t="inlineStr">
        <is>
          <t>**Refeição / Alimentação (VA/VR)**:
vale alimentação ou pagamento no valor de R$ 101,00 (cento e um reais), para cada empregado que prestar serviços em domingo, cujo valor não se constitui em salário, pago em natureza indenizatória. Parágrafo Quarto: Eventual extrapolamento da jornada normal diária do empregado aos domingos deverá ser remunerado como hora extra com adicional de 100% (cem por cento), ficando vedada sua compensação vi...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da Convenção Coletiva de Trabalho, com as...
**Seguro de Vida**:
Seguro de Vida ou Auxilio Funeral.
**Bolsa / Estudo**:
estudantes e admitidos para jornada de seis horas diárias e de trinta e três horas semanais, fica assegurado piso salarial proporcional relativamente a função que vier exercer na Empresa. Reajustes/Correções Salariais
**Diárias / Ressarcimento**:
diárias e de trinta e três horas semanais, fica assegurado piso salarial proporcional relativamente a função que vier exercer na Empresa. Reajustes/Correções Salariais
**Horas Extras**:
hora extra com adicional de 100% (cem por cento), ficando vedada sua compensação via banco de horas. Parágrafo Quinto: Fica estabelecido a obrigatoriedade de controle de jornada para o trabalho em domingos, limitado o trabalho extraordinário em no máximo 2 (duas) horas. Paragrafo Sexto: Para as empresas que tem ACT negociado com o sindicato, prevalecerão os valores mais benéficos ao trabalhador. P...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quando comprovarem prestação de exames vestibulares e do Enem. O trabalhador terá que avisar com 48h (quarenta e oito horas) de antecedência para que a empresa tome o conhecimento. Parágrafo Único: Os empregados que precisarem estagiar, deverão repor as horas em débito, através de negociação com o empregador.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O19" s="2" t="inlineStr">
        <is>
          <t>banco de horas.</t>
        </is>
      </c>
      <c r="P19" s="2" t="inlineStr"/>
      <c r="Q19" s="2" t="inlineStr"/>
    </row>
    <row r="20">
      <c r="A20" s="2" t="n">
        <v>19</v>
      </c>
      <c r="B20" s="2" t="inlineStr">
        <is>
          <t>114-CCT-SINDICATO DOS EMPREGADOS NO COMERCIO DE TOLEDO - SINDICATO INTERMUNICIPAL DO COMERCIO VAREJISTA DE MATERIAIS-01-06-2025.pdf</t>
        </is>
      </c>
      <c r="C20" s="2" t="inlineStr">
        <is>
          <t>SINDICATO DOS EMPREGADOS NO COMERCIO DE TOLEDO</t>
        </is>
      </c>
      <c r="D20" s="2" t="inlineStr">
        <is>
          <t>SINDICATO INTERMUNICIPAL DO COMERCIO VAREJISTA DE MATERIAIS</t>
        </is>
      </c>
      <c r="E20" s="2" t="inlineStr">
        <is>
          <t>78.115.524/0001-15</t>
        </is>
      </c>
      <c r="F20" s="2" t="inlineStr">
        <is>
          <t>76.683.028/0001-32</t>
        </is>
      </c>
      <c r="G20" s="2" t="inlineStr">
        <is>
          <t>01º de junho de
2025</t>
        </is>
      </c>
      <c r="H20" s="2" t="inlineStr">
        <is>
          <t>31 de maio de 2026</t>
        </is>
      </c>
      <c r="I20" s="2" t="inlineStr">
        <is>
          <t>01º de junho de
2025</t>
        </is>
      </c>
      <c r="J20" s="2" t="inlineStr">
        <is>
          <t>6,20%</t>
        </is>
      </c>
      <c r="K20" s="2" t="inlineStr">
        <is>
          <t>A) Aos empregados lotados na função de pacoteiro –: R$ 1.687,41
B) Aos empregados lotados nas funções de copa, cozinha, limpeza, portaria, contínuos e “office-boys” -: R$ 1.809,11
C) Aos demais empregados -: R$ 2.060,00
D) Aos empregados comissionistas com mais de 90 (noventa) dias de trabalho ao mesmo empregador, caso as comissões não alcancem valor correspondente, assegura-se uma garantia salarial mínima de: R$ 2.060,00</t>
        </is>
      </c>
      <c r="L20" s="2"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20" s="2" t="inlineStr"/>
      <c r="N20" s="2" t="inlineStr">
        <is>
          <t>**Refeição / Alimentação (VA/VR)**:
vale-refeição ou alimentação aos empregados abrangidos pela categoria, no valor mensal de R$ 308,00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laboratoriais e estudantis, bem como a manutenção e conservação da sede para uso dos empregados interessados. Parágrafo Quarto: Fica assegurado ao empregado o direito de oposição do desconto da taxa negocial, a qual deverá ser apresentada individualmente, por escrito junto ao Sindicato obreiro em até 30 (trinta) dias após a data do protocolo no Sistema Mediador (www3.mte.gov.br) da ...
**Bolsa / Estudo**:
estudantes e admitidos para jornada de seis horas diárias e de trinta e seis horas semanais, fica assegurado piso salarial proporcional relativamente à função que vier desempenhar na empresa. Reajustes/Correções Salariais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**Diárias / Ressarcimento**:
diárias e de trinta e seis horas semanais, fica assegurado piso salarial proporcional relativamente à função que vier desempenhar na empresa. Reajustes/Correções Salariais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quando comprovarem prestação de exames na cidade em que trabalham.</t>
        </is>
      </c>
      <c r="O20" s="2" t="inlineStr">
        <is>
          <t>Compensação de Jornada</t>
        </is>
      </c>
      <c r="P20" s="2" t="inlineStr">
        <is>
          <t>aviso
prévio indenizado, adotar-se-á a média das comissões nos doze meses anteriores ao mês da</t>
        </is>
      </c>
      <c r="Q20" s="2" t="inlineStr"/>
    </row>
    <row r="21">
      <c r="A21" s="2" t="n">
        <v>20</v>
      </c>
      <c r="B21" s="2" t="inlineStr">
        <is>
          <t>114-CCT-SINDICATO DOS EMPREGADOS NO COMERCIO DE TOLEDO - SINDICATO PATRONAL DO COMERCIO VAREJISTA DE MARECHAL CANDIDO-01-06-2025.pdf</t>
        </is>
      </c>
      <c r="C21" s="2" t="inlineStr">
        <is>
          <t>SINDICATO DOS EMPREGADOS NO COMERCIO DE TOLEDO</t>
        </is>
      </c>
      <c r="D21" s="2" t="inlineStr">
        <is>
          <t>SINDICATO PATRONAL DO COMERCIO VAREJISTA DE MARECHAL CANDIDO RONDON E MICRO REGIAO</t>
        </is>
      </c>
      <c r="E21" s="2" t="inlineStr">
        <is>
          <t>78.115.524/0001-15</t>
        </is>
      </c>
      <c r="F21" s="2" t="inlineStr">
        <is>
          <t>04.702.939/0001-59</t>
        </is>
      </c>
      <c r="G21" s="2" t="inlineStr">
        <is>
          <t>01º de junho de
2025</t>
        </is>
      </c>
      <c r="H21" s="2" t="inlineStr">
        <is>
          <t>31 de maio de 2026</t>
        </is>
      </c>
      <c r="I21" s="2" t="inlineStr">
        <is>
          <t>01º de junho de
2025</t>
        </is>
      </c>
      <c r="J21" s="2" t="inlineStr">
        <is>
          <t>6,2%</t>
        </is>
      </c>
      <c r="K21" s="2" t="inlineStr">
        <is>
          <t>A) Aos empregados que exerçam as funções de copa, cozinha, limpeza, contínuos, repositor, porteiros, auxiliar de açougueiros, auxiliar de panificação e auxiliar de confeiteiro, fica assegurado o piso no valor de: R$ 1.680,00
B) Aos demais empregados, fica assegurado o piso salarial de de: R$ 1.810,00</t>
        </is>
      </c>
      <c r="L21" s="2" t="inlineStr">
        <is>
          <t>Contribuição Negocial Patronal, para manutenção dos serviços assistenciais da entidade, o valor de R$ 250,00 (duzentos e cinquenta reais). O recolhimento da contribuição deverá ser realizado por meio de depósito bancário a ser creditado no SICREDI Agência 0715 Conta Corrente 07579-5 em parcela única</t>
        </is>
      </c>
      <c r="M21" s="2" t="inlineStr"/>
      <c r="N21" s="2" t="inlineStr">
        <is>
          <t>**Refeição / Alimentação (VA/VR)**:
refeição fornecida pelo Empregador ou a um pagamento equivalente a 2% (dois por cento) do piso salarial (
**Plano Odontológico**:
ODONTOLÓGICOS A comerciária(o) ou responsável que deixar de comparecer ao serviço para atender à enfermidade de seus filhos menores de 14 (quatorze) anos, ou inválidos, incapazes, comprovado nos termos da
**Bolsa / Estudo**:
estudantes e admitidos para jornada de seis horas diárias e de trinta e três horas semanais, fica assegurado piso salarial proporcional relativamente a função que vier desempenhar na Empresa, referente a 01/06/2025 a 31/05/2026. Reajustes/Correções Salariais
**Diárias / Ressarcimento**:
diárias e de trinta e três horas semanais, fica assegurado piso salarial proporcional relativamente a função que vier desempenhar na Empresa, referente a 01/06/2025 a 31/05/2026. Reajustes/Correções Salariais
**Descanso Semanal Remunerado**:
repouso semanal remunerado. A parte variável do salário dos comissionistas para fins de cálculo de férias, 13º salário e verbas rescisórias, será considerada a média das comissões percebidas nos últimos 12 (doze) meses, corrigindo-se mês a mês os valores das referidas comissões, pelos índices do I.N.P.C./I.B.G.E., de acordo com a tabela oficial, ou outro índice que vier a substituí-lo, mantendo o ...
**Abono de Faltas**:
ABONO DE FALTAS Abonar-se-ão faltas aos empregados estudantes e vestibulandos, quando comprovarem prestação de exames.
**FGTS**:
FGTS em caso de dispensa sem justa causa, segue o que determina o Artigo 477 da CLT. Parágrafo Primeiro: Na rescisão contratual, ficam os empregadores obrigados a dar baixa na Carteira de Trabalho no prazo legal e, no mesmo prazo, a proceder o pagamento dos haveres devidos na quitação. O empregador terá 24 (vinte e quatro horas) após o prazo do Art. 477 da CLT para finalizar os atos homologatórios...</t>
        </is>
      </c>
      <c r="O21" s="2" t="inlineStr"/>
      <c r="P21" s="2" t="inlineStr"/>
      <c r="Q21" s="2" t="inlineStr"/>
    </row>
    <row r="22">
      <c r="A22" s="2" t="n">
        <v>21</v>
      </c>
      <c r="B22" s="2" t="inlineStr">
        <is>
          <t>117-CCT-SINDICATO DOS EMPREGADOS EM ENTIDADES CULTURAIS, RECREATIVAS, DE ASSISTENCIA SOCIAL, DE ORIENTACAO E FORMACAO PROFISSIONAL, NO ESTADO DO PARANA. - SINDICATO DOS CLUBES ESPORTIVOS, DE CULTURA FISICA E HIPICOS-01-09-2024.pdf</t>
        </is>
      </c>
      <c r="C22" s="2" t="inlineStr">
        <is>
          <t>SINDICATO DOS EMPREGADOS EM ENTIDADES CULTURAIS, RECREATIVAS, DE ASSISTENCIA SOCIAL, DE ORIENTACAO E FORMACAO PROFISSIONAL, NO ESTADO DO PARANA.</t>
        </is>
      </c>
      <c r="D22" s="2" t="inlineStr">
        <is>
          <t>SINDICATO DOS CLUBES ESPORTIVOS, DE CULTURA FISICA E HIPICOS DO ESTADO DO PARANA.</t>
        </is>
      </c>
      <c r="E22" s="2" t="inlineStr">
        <is>
          <t>75.992.446/0001-49</t>
        </is>
      </c>
      <c r="F22" s="2" t="inlineStr">
        <is>
          <t>02.740.267/0001-40</t>
        </is>
      </c>
      <c r="G22" s="2" t="inlineStr">
        <is>
          <t>01º de setembro de
2024</t>
        </is>
      </c>
      <c r="H22" s="2" t="inlineStr">
        <is>
          <t>31 de agosto de 2026</t>
        </is>
      </c>
      <c r="I22" s="2" t="inlineStr">
        <is>
          <t>01º de setembro de
2024</t>
        </is>
      </c>
      <c r="J22" s="2" t="inlineStr"/>
      <c r="K22" s="2" t="inlineStr"/>
      <c r="L22" s="2"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M22" s="2" t="inlineStr"/>
      <c r="N22" s="2"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O22" s="2" t="inlineStr">
        <is>
          <t>Compensação de Jornada</t>
        </is>
      </c>
      <c r="P22" s="2" t="inlineStr"/>
      <c r="Q22" s="2" t="inlineStr"/>
    </row>
    <row r="23">
      <c r="A23" s="2" t="n">
        <v>22</v>
      </c>
      <c r="B23" s="2" t="inlineStr">
        <is>
          <t>117-CCT-SINDICATO DOS EMPREGADOS EM ENTIDADES CULTURAIS, RECREATIVAS, DE ASSISTENCIA SOCIAL, DE ORIENTACAO E FORMACAO PROFISSIONAL, NO ESTADO DO PARANA. - SINDICATO ENTIDADES CULTURAIS RECR.ASS SOC FOR PROF.PR e Out-01-10-2025.pdf</t>
        </is>
      </c>
      <c r="C23" s="2" t="inlineStr">
        <is>
          <t>SINDICATO DOS EMPREGADOS EM ENTIDADES CULTURAIS, RECREATIVAS, DE ASSISTENCIA SOCIAL, DE ORIENTACAO E FORMACAO PROFISSIONAL, NO ESTADO DO PARANA.</t>
        </is>
      </c>
      <c r="D23" s="2" t="inlineStr">
        <is>
          <t>SINDICATO ENTIDADES CULTURAIS RECR.ASS SOC FOR PROF.PR</t>
        </is>
      </c>
      <c r="E23" s="2" t="inlineStr">
        <is>
          <t>75.992.446/0001-49</t>
        </is>
      </c>
      <c r="F23" s="2" t="inlineStr">
        <is>
          <t>81.105.025/0001-51</t>
        </is>
      </c>
      <c r="G23" s="2" t="inlineStr">
        <is>
          <t>01º de outubro de
2025</t>
        </is>
      </c>
      <c r="H23" s="2" t="inlineStr">
        <is>
          <t>30 de setembro de 2026</t>
        </is>
      </c>
      <c r="I23" s="2" t="inlineStr">
        <is>
          <t>01º de outubro de
2025</t>
        </is>
      </c>
      <c r="J23" s="2" t="inlineStr">
        <is>
          <t>5,76%</t>
        </is>
      </c>
      <c r="K23" s="2" t="inlineStr"/>
      <c r="L23" s="2"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M23" s="2" t="inlineStr"/>
      <c r="N23" s="2"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O23" s="2" t="inlineStr">
        <is>
          <t>jornada de trabalho 12x36 horas fica | banco de horas, através de tíquete, cartão ou pecúnia (dinheiro). As Entidades que concedem vale</t>
        </is>
      </c>
      <c r="P23" s="2" t="inlineStr"/>
      <c r="Q23" s="2" t="inlineStr"/>
    </row>
    <row r="24">
      <c r="A24" s="2" t="n">
        <v>23</v>
      </c>
      <c r="B24" s="2" t="inlineStr">
        <is>
          <t>117-CCT-SINDICATO DOS EMPREGADOS EM ENTIDADES CULTURAIS, RECREATIVAS, DE ASSISTENCIA SOCIAL, DE ORIENTACAO E FORMACAO PROFISSIONAL, NO ESTADO DO PARANA.-01-05-2026.pdf</t>
        </is>
      </c>
      <c r="C24" s="2" t="inlineStr">
        <is>
          <t>SINDICATO DOS EMPREGADOS EM ENTIDADES CULTURAIS, RECREATIVAS, DE ASSISTENCIA SOCIAL, DE ORIENTACAO E FORMACAO PROFISSIONAL, NO ESTADO DO PARANA.</t>
        </is>
      </c>
      <c r="D24" s="2" t="inlineStr">
        <is>
          <t>SINDICATO DOS CLUBES ESPORTIVOS, DE CULTURA FISICA E HIPICOS DO ESTADO DO PARANA.</t>
        </is>
      </c>
      <c r="E24" s="2" t="inlineStr">
        <is>
          <t>75.992.446/0001-49</t>
        </is>
      </c>
      <c r="F24" s="2" t="inlineStr">
        <is>
          <t>02.740.267/0001-40</t>
        </is>
      </c>
      <c r="G24" s="2" t="inlineStr">
        <is>
          <t>01º de maio de 2026</t>
        </is>
      </c>
      <c r="H24" s="2" t="inlineStr">
        <is>
          <t>30 de abril de 2027</t>
        </is>
      </c>
      <c r="I24" s="2" t="inlineStr">
        <is>
          <t>01º de maio de 2026</t>
        </is>
      </c>
      <c r="J24" s="2" t="inlineStr">
        <is>
          <t>5,5%</t>
        </is>
      </c>
      <c r="K24" s="2" t="inlineStr"/>
      <c r="L24" s="2" t="inlineStr">
        <is>
          <t>50% - Contribuição Sindical) os seguintes benefícios: I – Clube de vantagens MASTER CLIN, plataforma de descontos e ofertas especiais, exclusivo para associados. II – Plano odontológico DENTAL UNI – ELITE, mais de 250 procedimentos sem custo, gratuito para associados e mensalidade com custo acessível para...</t>
        </is>
      </c>
      <c r="M24" s="2" t="inlineStr"/>
      <c r="N24" s="2" t="inlineStr">
        <is>
          <t>**Auxílio Transporte / Vale-transporte**:
Auxílio Transporte
**Refeição / Alimentação (VA/VR)**:
vale refeição aos seus empregados, a partir de 1º de maio de 2026 no valor mínimo de R$ 29,00 (vinte e nove reais), por dia trabalhado ou compensado pelo banco de horas, através de tíquete ou cartão, podendo descontar do empregado até 10% (dez por cento) do valor do benefício. Parágrafo Primeiro - A Entidade empregadora que já fornecia o vale alimentação ou vale refeição em valor igual ou superior...
**Auxílio Creche**:
Auxílio Creche
**Plano de Saúde / Assistência Médica**:
plano de saúde HAPVIDA e MEDSÊNIOR, exclusivo para associados. VI – Acesso a plataforma TOTAL PASS que dá direito a plano de academias, pilates, nutricionista, dentre outros, disponível para associados e contribuintes. VII – Brinde do DIA DO TRABALHADOR, exclusivo para associados. VIII – Assessoria jurídica trabalhista gratuita para associados e contribuintes.
**Plano Odontológico**:
odontológico DENTAL UNI – ELITE, mais de 250 procedimentos sem custo, gratuito para associados e mensalidade com custo acessível para dependentes e contribuintes. III – Entrada para o ARAUCÁRIA ACQUA PARK, gratuito para o associado e um acompanhante, gratuito somente para o contribuinte e ambos podem adquirir na bilheteria entradas com 50% de desconto para até 5 acompanhantes. IV – Assistência méd...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**Adicional de Insalubridade**:
ADICIONAL DE INSALUBRIDADE Tendo em vista a Súmula Vinculante nº 04 do Supremo Tribunal Federal durante a vigência da Convenção Coletiva de Trabalho, a base de cálculo para a incidência do adicional de insalubridade será o piso salarial da categoria profissional. Relações Sindicais Liberação de Empregados para Atividades Sindicais
**Horas Extras**:
hora extra. Descanso Semanal
**Descanso Semanal Remunerado**:
Descanso Semanal
**Abono de Faltas**:
ABONO DE FALTAS As faltas para acompanhamento médico do conjunge, companheiro/a em união estável, filhos até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
**FGTS**:
FGTS (artigo 457, § 2º da CLT). Parágrafo Quarto - A Entidade empregadora que fornece alimentação equivalente a refeição (almoço e/ou jantar) sem custo para os seus empregados, fica eximida do fornecimento do vale alimentação ou vale refeição. Auxílio Transporte</t>
        </is>
      </c>
      <c r="O24" s="2" t="inlineStr">
        <is>
          <t>banco de horas, através de tíquete ou cartão, podendo descontar do empregado até 10% (dez por cento) do</t>
        </is>
      </c>
      <c r="P24" s="2" t="inlineStr"/>
      <c r="Q24" s="2" t="inlineStr"/>
    </row>
    <row r="25">
      <c r="A25" s="2" t="n">
        <v>24</v>
      </c>
      <c r="B25" s="2" t="inlineStr">
        <is>
          <t>117-CCT-SINDICATO DOS EMPREGADOS EM ENTIDADES CULTURAIS, RECREATIVAS, DE ASSISTENCIA SOCIAL, DE ORIENTACAO E FORMACAO PROFISSIONAL, NO ESTADO DO PARANA.-01-09-2024.pdf</t>
        </is>
      </c>
      <c r="C25" s="2" t="inlineStr">
        <is>
          <t>SINDICATO DOS EMPREGADOS EM ENTIDADES CULTURAIS, RECREATIVAS, DE ASSISTENCIA SOCIAL, DE ORIENTACAO E FORMACAO PROFISSIONAL, NO ESTADO DO PARANA.</t>
        </is>
      </c>
      <c r="D25" s="2" t="inlineStr">
        <is>
          <t>SINDICATO DOS CLUBES ESPORTIVOS, DE CULTURA FISICA E HIPICOS DO ESTADO DO PARANA.</t>
        </is>
      </c>
      <c r="E25" s="2" t="inlineStr">
        <is>
          <t>75.992.446/0001-49</t>
        </is>
      </c>
      <c r="F25" s="2" t="inlineStr">
        <is>
          <t>02.740.267/0001-40</t>
        </is>
      </c>
      <c r="G25" s="2" t="inlineStr">
        <is>
          <t>01º de setembro de
2024</t>
        </is>
      </c>
      <c r="H25" s="2" t="inlineStr">
        <is>
          <t>31 de agosto de 2026</t>
        </is>
      </c>
      <c r="I25" s="2" t="inlineStr">
        <is>
          <t>01º de setembro de
2024</t>
        </is>
      </c>
      <c r="J25" s="2" t="inlineStr"/>
      <c r="K25" s="2" t="inlineStr"/>
      <c r="L25" s="2" t="inlineStr">
        <is>
          <t>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t>
        </is>
      </c>
      <c r="M25" s="2" t="inlineStr"/>
      <c r="N25" s="2" t="inlineStr">
        <is>
          <t>**Auxílio Transporte / Vale-transporte**:
Auxílio Transporte
**Refeição / Alimentação (VA/VR)**:
vale refeição/alimentação no valor de R$ 17,00 (dezessete reais) por dia trabalhado/compensado aos empregados com carga horária de 220h/mês, através de cartão ou pecúnia. Parágrafo Primeiro – Em 1º de setembro de 2025 as academias concederão o benefício do vale refeição/alimentação no valor de R$ 19,00 (dezenove reais) por dia trabalhado/compensado aos empregados com carga horária a partir de 200h...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
**Diárias / Ressarcimento**: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**Horas Extras**:
hora extra. Descanso Semanal
**Descanso Semanal Remunerado**: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**Abono de Faltas**: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
**FGTS**:
FGTS (artigo 457, § 2º da CLT). Parágrafo Sexto - As diferenças do vale refeição/alimentação retroativas ao mês de setembro de 2024 deverão ser pagas na folha de pagamento correspondente ao mês de julho de 2025 (até o 5º dia útil de agosto). Auxílio Transporte</t>
        </is>
      </c>
      <c r="O25" s="2" t="inlineStr">
        <is>
          <t>Compensação de Jornada</t>
        </is>
      </c>
      <c r="P25" s="2" t="inlineStr"/>
      <c r="Q25" s="2" t="inlineStr"/>
    </row>
    <row r="26">
      <c r="A26" s="2" t="n">
        <v>25</v>
      </c>
      <c r="B26" s="2" t="inlineStr">
        <is>
          <t>117-CCT-SINDICATO DOS EMPREGADOS EM ENTIDADES CULTURAIS, RECREATIVAS, DE ASSISTENCIA SOCIAL, DE ORIENTACAO E FORMACAO PROFISSIONAL, NO ESTADO DO PARANA.-01-10-2025.pdf</t>
        </is>
      </c>
      <c r="C26" s="2" t="inlineStr">
        <is>
          <t>SINDICATO DOS EMPREGADOS EM ENTIDADES CULTURAIS, RECREATIVAS, DE ASSISTENCIA SOCIAL, DE ORIENTACAO E FORMACAO PROFISSIONAL, NO ESTADO DO PARANA.</t>
        </is>
      </c>
      <c r="D26" s="2" t="inlineStr">
        <is>
          <t>SINDICATO ENTIDADES CULTURAIS RECR.ASS SOC FOR PROF.PR</t>
        </is>
      </c>
      <c r="E26" s="2" t="inlineStr">
        <is>
          <t>75.992.446/0001-49</t>
        </is>
      </c>
      <c r="F26" s="2" t="inlineStr">
        <is>
          <t>81.105.025/0001-51</t>
        </is>
      </c>
      <c r="G26" s="2" t="inlineStr">
        <is>
          <t>01º de outubro de
2025</t>
        </is>
      </c>
      <c r="H26" s="2" t="inlineStr">
        <is>
          <t>30 de setembro de 2026</t>
        </is>
      </c>
      <c r="I26" s="2" t="inlineStr">
        <is>
          <t>01º de outubro de
2025</t>
        </is>
      </c>
      <c r="J26" s="2" t="inlineStr">
        <is>
          <t>5,76%</t>
        </is>
      </c>
      <c r="K26" s="2" t="inlineStr"/>
      <c r="L26" s="2" t="inlineStr">
        <is>
          <t>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t>
        </is>
      </c>
      <c r="M26" s="2" t="inlineStr"/>
      <c r="N26" s="2" t="inlineStr">
        <is>
          <t>**Auxílio Transporte / Vale-transporte**:
Auxílio Transporte
**Refeição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R$ 26,00 (vinte e seis reais) re...
**Auxílio Creche**:
Auxílio Creche
**Plano de Saúde / Assistência Médica**: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
**Plano Odontológico**: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remunerado, a teor do Enunciado 27 do Egrégio TST. Auxílio Alimentação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Transporte</t>
        </is>
      </c>
      <c r="O26" s="2" t="inlineStr">
        <is>
          <t>jornada de trabalho 12x36 horas fica | banco de horas, através de tíquete, cartão ou pecúnia (dinheiro). As Entidades que concedem vale</t>
        </is>
      </c>
      <c r="P26" s="2" t="inlineStr"/>
      <c r="Q26" s="2" t="inlineStr"/>
    </row>
    <row r="27">
      <c r="A27" s="2" t="n">
        <v>26</v>
      </c>
      <c r="B27" s="2" t="inlineStr">
        <is>
          <t>117-TA-CCT-SINDICATO DOS EMPREGADOS EM ENTIDADES CULTURAIS, RECREATIVAS, DE ASSISTENCIA SOCIAL, DE ORIENTACAO E FORMACAO PROFISSIONAL, NO ESTADO DO PARANA.-01-10-2025.pdf</t>
        </is>
      </c>
      <c r="C27" s="2" t="inlineStr">
        <is>
          <t>SINDICATO DOS EMPREGADOS EM ENTIDADES CULTURAIS, RECREATIVAS, DE ASSISTENCIA SOCIAL, DE ORIENTACAO E FORMACAO PROFISSIONAL, NO ESTADO DO PARANA.</t>
        </is>
      </c>
      <c r="D27" s="2" t="inlineStr">
        <is>
          <t>LUMIAR CONSULTORIA AMBIENTAL LTDA</t>
        </is>
      </c>
      <c r="E27" s="2" t="inlineStr">
        <is>
          <t>75.992.446/0001-49</t>
        </is>
      </c>
      <c r="F27" s="2" t="inlineStr">
        <is>
          <t>18.516.937/0001-80</t>
        </is>
      </c>
      <c r="G27" s="2" t="inlineStr">
        <is>
          <t>01º de
outubro de 2025</t>
        </is>
      </c>
      <c r="H27" s="2" t="inlineStr">
        <is>
          <t>30 de setembro de 2026</t>
        </is>
      </c>
      <c r="I27" s="2" t="inlineStr">
        <is>
          <t>01º de
outubro de 2025</t>
        </is>
      </c>
      <c r="J27" s="2" t="inlineStr"/>
      <c r="K27" s="2" t="inlineStr"/>
      <c r="L27" s="2" t="inlineStr"/>
      <c r="M27" s="2" t="inlineStr"/>
      <c r="N27" s="2" t="inlineStr">
        <is>
          <t>**Descanso Semanal Remunerado**:
descanso semanal remunerado e dias feriados serão creditadas em dobro no Banco de Horas, exceto se houver a respectiva compensação no prazo de 72h. e) Quando não houver atividades a serem realizadas, os empregados poderão ser dispensados do comparecimento ao trabalho, sendo as horas debitadas no Banco de Horas, observado o limite máximo de débito de 40 (quarenta) horas negativas dentro de um mesmo...</t>
        </is>
      </c>
      <c r="O27" s="2" t="inlineStr">
        <is>
          <t>Compensação de Jornada</t>
        </is>
      </c>
      <c r="P27" s="2" t="inlineStr"/>
      <c r="Q27" s="2" t="inlineStr"/>
    </row>
    <row r="28">
      <c r="A28" s="2" t="n">
        <v>27</v>
      </c>
      <c r="B28" s="2" t="inlineStr">
        <is>
          <t>117-TA-CCT-SINDICATO DOS EMPREGADOS EM ENTIDADES CULTURAIS, RECREATIVAS, DE ASSISTENCIA SOCIAL, DE ORIENTACAO E FORMACAO PROFISSIONAL, NO ESTADO DO PARANA.-01-11-2025.pdf</t>
        </is>
      </c>
      <c r="C28" s="2" t="inlineStr">
        <is>
          <t>SERVICO SOCIAL DA INDUSTRIA SESI</t>
        </is>
      </c>
      <c r="D28" s="2" t="inlineStr"/>
      <c r="E28" s="2" t="inlineStr">
        <is>
          <t>03.802.018/0001-03</t>
        </is>
      </c>
      <c r="F28" s="2" t="inlineStr">
        <is>
          <t>03.776.284/0001-09</t>
        </is>
      </c>
      <c r="G28" s="2" t="inlineStr">
        <is>
          <t>01º de
novembro de 2025</t>
        </is>
      </c>
      <c r="H28" s="2" t="inlineStr">
        <is>
          <t>30 de setembro de 2027</t>
        </is>
      </c>
      <c r="I28" s="2" t="inlineStr">
        <is>
          <t>01º de
novembro de 2025</t>
        </is>
      </c>
      <c r="J28" s="2" t="inlineStr">
        <is>
          <t>1,5%</t>
        </is>
      </c>
      <c r="K28" s="2" t="inlineStr"/>
      <c r="L28" s="2" t="inlineStr">
        <is>
          <t>1,5% - 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t>
        </is>
      </c>
      <c r="M28" s="2" t="inlineStr"/>
      <c r="N28" s="2" t="inlineStr">
        <is>
          <t>Não especificado</t>
        </is>
      </c>
      <c r="O28" s="2" t="inlineStr">
        <is>
          <t>BANCO DE HORAS</t>
        </is>
      </c>
      <c r="P28" s="2" t="inlineStr"/>
      <c r="Q28" s="2" t="inlineStr"/>
    </row>
    <row r="29">
      <c r="A29" s="2" t="n">
        <v>28</v>
      </c>
      <c r="B29" s="2" t="inlineStr">
        <is>
          <t>120-TA-CCT-SIND TRAB IND SER,CARP,MARCEN,TAN,MAD,COMP LAM,AGL CHAP FIBR MAD,OF MARC,IND M MAD,JUNC VIME,VASS,CORT E EST,ESC,PINC,E AFINS FCO BELTRAO - PR-04-06-2024.pdf</t>
        </is>
      </c>
      <c r="C29" s="2" t="inlineStr">
        <is>
          <t>INDUSTRIA DE MOVEIS NOTAVEL LTDA</t>
        </is>
      </c>
      <c r="D29" s="2" t="inlineStr">
        <is>
          <t>SIND TRAB IND SER,CARP,MARCEN,TAN,MAD,COMP LAM,AGL CHAP FIBR MAD,OF MARC,IND M MAD,JUNC VIME,VASS,CORT E EST,ESC,PINC,E AFINS FCO BELTRAO - PR</t>
        </is>
      </c>
      <c r="E29" s="2" t="inlineStr">
        <is>
          <t>00.303.732/0001-50</t>
        </is>
      </c>
      <c r="F29" s="2" t="inlineStr">
        <is>
          <t>00.090.268/0001-61</t>
        </is>
      </c>
      <c r="G29" s="2" t="inlineStr">
        <is>
          <t>04 de
junho de 2024</t>
        </is>
      </c>
      <c r="H29" s="2" t="inlineStr">
        <is>
          <t>03 de junho de 2026</t>
        </is>
      </c>
      <c r="I29" s="2" t="inlineStr">
        <is>
          <t>04 de
junho de 2024</t>
        </is>
      </c>
      <c r="J29" s="2" t="inlineStr"/>
      <c r="K29" s="2" t="inlineStr"/>
      <c r="L29" s="2" t="inlineStr"/>
      <c r="M29" s="2" t="inlineStr"/>
      <c r="N29" s="2" t="inlineStr">
        <is>
          <t>Não especificado</t>
        </is>
      </c>
      <c r="O29" s="2" t="inlineStr"/>
      <c r="P29" s="2" t="inlineStr"/>
      <c r="Q29" s="2" t="inlineStr"/>
    </row>
    <row r="30">
      <c r="A30" s="2" t="n">
        <v>29</v>
      </c>
      <c r="B30" s="2" t="inlineStr">
        <is>
          <t>122-CCT-SINDICATO DOS TRAB.IND.METAL.MEC.E MAT.ELETR.DE P.BRANCO E REGIAO SUDOESTE DO PR - FEDERACAO DOS TRABALHADORES EM TRANSP RODOV DO EST PR e Outr-01-01-2026.pdf</t>
        </is>
      </c>
      <c r="C30" s="2" t="inlineStr">
        <is>
          <t>FEDERACAO DOS TRABALHADORES EM TRANSP RODOV DO EST PR</t>
        </is>
      </c>
      <c r="D30" s="2" t="inlineStr"/>
      <c r="E30" s="2" t="inlineStr">
        <is>
          <t>81.455.248/0001-49</t>
        </is>
      </c>
      <c r="F30" s="2" t="inlineStr">
        <is>
          <t>78.686.888/0001-55</t>
        </is>
      </c>
      <c r="G30" s="2" t="inlineStr">
        <is>
          <t>01º de janeiro de
2026</t>
        </is>
      </c>
      <c r="H30" s="2" t="inlineStr">
        <is>
          <t>31 de dezembro de 2026</t>
        </is>
      </c>
      <c r="I30" s="2" t="inlineStr">
        <is>
          <t>01º de janeiro de
2026</t>
        </is>
      </c>
      <c r="J30" s="2" t="inlineStr">
        <is>
          <t>4,90%</t>
        </is>
      </c>
      <c r="K30" s="2"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L30" s="2" t="inlineStr">
        <is>
          <t>CONTRIBUIÇÃO ASSISTENCIAL aqui tratada fica limitada a 1% (um porcento) mensal, calculado</t>
        </is>
      </c>
      <c r="M30" s="2" t="inlineStr"/>
      <c r="N30"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30" s="2" t="inlineStr">
        <is>
          <t>banco de horas que deverá ser tratada diretamente com a entidade sindical representativa da categoria</t>
        </is>
      </c>
      <c r="P30" s="2" t="inlineStr"/>
      <c r="Q30" s="2" t="inlineStr">
        <is>
          <t>penalidade no valor de 2% (dois por cento) do</t>
        </is>
      </c>
    </row>
    <row r="31">
      <c r="A31" s="2" t="n">
        <v>30</v>
      </c>
      <c r="B31" s="2" t="inlineStr">
        <is>
          <t>122-CCT-SINDICATO DOS TRAB.IND.METAL.MEC.E MAT.ELETR.DE P.BRANCO E REGIAO SUDOESTE DO PR - SINDICATO DAS IND METAL.MECAN MATER ELETR DE PATO BRANC-01-12-2024.pdf</t>
        </is>
      </c>
      <c r="C31" s="2" t="inlineStr">
        <is>
          <t>SINDICATO DAS IND METAL.MECAN MATER ELETR DE PATO BRANC</t>
        </is>
      </c>
      <c r="D31" s="2" t="inlineStr">
        <is>
          <t>SINDICATO DOS TRAB.IND.METAL.MEC.E MAT.ELETR.DE P.BRANCO E REGIAO SUDOESTE DO PR</t>
        </is>
      </c>
      <c r="E31" s="2" t="inlineStr">
        <is>
          <t>78.675.949/0001-89</t>
        </is>
      </c>
      <c r="F31" s="2" t="inlineStr">
        <is>
          <t>78.685.344/0001-79</t>
        </is>
      </c>
      <c r="G31" s="2" t="inlineStr">
        <is>
          <t>01º de dezembro de
2024</t>
        </is>
      </c>
      <c r="H31" s="2" t="inlineStr">
        <is>
          <t>30 de novembro de 2026</t>
        </is>
      </c>
      <c r="I31" s="2" t="inlineStr">
        <is>
          <t>01º de dezembro de
2024</t>
        </is>
      </c>
      <c r="J31" s="2" t="inlineStr">
        <is>
          <t>1,5%</t>
        </is>
      </c>
      <c r="K31" s="2" t="inlineStr"/>
      <c r="L31" s="2" t="inlineStr"/>
      <c r="M31" s="2" t="inlineStr"/>
      <c r="N31" s="2"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O31" s="2" t="inlineStr">
        <is>
          <t>Compensação de Jornada</t>
        </is>
      </c>
      <c r="P31" s="2" t="inlineStr"/>
      <c r="Q31" s="2" t="inlineStr"/>
    </row>
    <row r="32">
      <c r="A32" s="2" t="n">
        <v>31</v>
      </c>
      <c r="B32" s="2" t="inlineStr">
        <is>
          <t>122-CCT-SINDICATO DOS TRAB.IND.METAL.MEC.E MAT.ELETR.DE P.BRANCO E REGIAO SUDOESTE DO PR-01-01-2026.pdf</t>
        </is>
      </c>
      <c r="C32" s="2" t="inlineStr">
        <is>
          <t>FEDERACAO DOS TRABALHADORES EM TRANSP RODOV DO EST PR</t>
        </is>
      </c>
      <c r="D32" s="2" t="inlineStr"/>
      <c r="E32" s="2" t="inlineStr">
        <is>
          <t>81.455.248/0001-49</t>
        </is>
      </c>
      <c r="F32" s="2" t="inlineStr">
        <is>
          <t>78.686.888/0001-55</t>
        </is>
      </c>
      <c r="G32" s="2" t="inlineStr">
        <is>
          <t>01º de janeiro de
2026</t>
        </is>
      </c>
      <c r="H32" s="2" t="inlineStr">
        <is>
          <t>31 de dezembro de 2026</t>
        </is>
      </c>
      <c r="I32" s="2" t="inlineStr">
        <is>
          <t>01º de janeiro de
2026</t>
        </is>
      </c>
      <c r="J32" s="2" t="inlineStr">
        <is>
          <t>4,90%</t>
        </is>
      </c>
      <c r="K32" s="2" t="inlineStr">
        <is>
          <t>A) Condutores de carreta, treminhão e bitrem, equipados ou não com guindauto -: R$ 3.007,69
B) Condutores de truck equipados ou não com guindauto e de ônibus -: R$ 2.487,04
C) Condutores de veículos toco equipados ou não com guindauto -: R$ 2.355,31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R$ 2.226,65
E) Condutores de veíc. c/ cap. de até 1 t. equipados ou não com guindauto e motociclistas -: R$ 2.055,17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t>
        </is>
      </c>
      <c r="L32" s="2" t="inlineStr">
        <is>
          <t>CONTRIBUIÇÃO ASSISTENCIAL aqui tratada fica limitada a 1% (um porcento) mensal, calculado</t>
        </is>
      </c>
      <c r="M32" s="2" t="inlineStr"/>
      <c r="N32"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**PPR / Participação nos Lucros**:
Participação nos Lucros e/ou Resultados
**Adicional de Periculosidade**:
Adicional de Periculosidade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32" s="2" t="inlineStr">
        <is>
          <t>banco de horas que deverá ser tratada diretamente com a entidade sindical representativa da categoria</t>
        </is>
      </c>
      <c r="P32" s="2" t="inlineStr"/>
      <c r="Q32" s="2" t="inlineStr">
        <is>
          <t>penalidade no valor de 2% (dois por cento) do</t>
        </is>
      </c>
    </row>
    <row r="33">
      <c r="A33" s="2" t="n">
        <v>32</v>
      </c>
      <c r="B33" s="2" t="inlineStr">
        <is>
          <t>122-CCT-SINDICATO DOS TRAB.IND.METAL.MEC.E MAT.ELETR.DE P.BRANCO E REGIAO SUDOESTE DO PR-01-12-2024.pdf</t>
        </is>
      </c>
      <c r="C33" s="2" t="inlineStr">
        <is>
          <t>SINDICATO DAS IND METAL.MECAN MATER ELETR DE PATO BRANC</t>
        </is>
      </c>
      <c r="D33" s="2" t="inlineStr">
        <is>
          <t>SINDICATO DOS TRAB.IND.METAL.MEC.E MAT.ELETR.DE P.BRANCO E REGIAO SUDOESTE DO PR</t>
        </is>
      </c>
      <c r="E33" s="2" t="inlineStr">
        <is>
          <t>78.675.949/0001-89</t>
        </is>
      </c>
      <c r="F33" s="2" t="inlineStr">
        <is>
          <t>78.685.344/0001-79</t>
        </is>
      </c>
      <c r="G33" s="2" t="inlineStr">
        <is>
          <t>01º de dezembro de
2024</t>
        </is>
      </c>
      <c r="H33" s="2" t="inlineStr">
        <is>
          <t>30 de novembro de 2026</t>
        </is>
      </c>
      <c r="I33" s="2" t="inlineStr">
        <is>
          <t>01º de dezembro de
2024</t>
        </is>
      </c>
      <c r="J33" s="2" t="inlineStr">
        <is>
          <t>1,5%</t>
        </is>
      </c>
      <c r="K33" s="2" t="inlineStr"/>
      <c r="L33" s="2" t="inlineStr"/>
      <c r="M33" s="2" t="inlineStr"/>
      <c r="N33" s="2" t="inlineStr">
        <is>
          <t>**Refeição / Alimentação (VA/VR)**:
vale-refeição, folha de pagamento, vale-alimentação, em dinheiro, depósito bancário, vale mercado, vedada a concessão in natura, limitando-se ao valor estabelecido no caput. Parágrafo Segundo As empresas que possuírem apuração de ponto diferente de mês corrido poderão apurar o valor do benefício conforme o período praticado. Parágrafo Terceiro: Entende-se como “falta”, para fins da não concessão d...
**Plano Odontológico**: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
**Seguro de Vida**:
seguro de vida equivalente, cujo custeio deverá ser de sua responsabilidade. PARÁGRAFO TERCEIRO - O estabelecido nesta
**PPR / Participação nos Lucros**:
participação nos lucros ou resultados. PARÁGRAFO TERCEIRO: Para fins tributários e previdenciários, considera-se o mês do efetivo pagamento. PARÁGRAFO QUARTO: Ficam desobrigadas da aplicação desta
**Diárias / Ressarcimento**:
diárias, serão remuneradas com o adicional de 100%(cem por cento), sem prejuízo do recebimento do próprio dia, a que o empregado já fizera jus, enquanto as excedentes serão pagas com o adicional de 150%(cento e cinquenta por cento).
**Horas Extras**:
hora extra a partir da Quarta diária no Sábado, compensará na semana seguinte, trabalhando 40 horas (Segunda à Sexta) deverão firmar acordo junto ao Sindicato dos Trabalhadores. VI - As empresas poderão estabelecer abonos ou concessão de benefícios, como cestas básicas, vale- refeição, pagamentos ou abonos em folha de pagamento, vale-alimentação, em espécie, depósito bancário, vale mercado, sem ca...
**Descanso Semanal Remunerado**: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**FGTS**: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t>
        </is>
      </c>
      <c r="O33" s="2" t="inlineStr">
        <is>
          <t>Compensação de Jornada</t>
        </is>
      </c>
      <c r="P33" s="2" t="inlineStr"/>
      <c r="Q33" s="2" t="inlineStr"/>
    </row>
    <row r="34">
      <c r="A34" s="2" t="n">
        <v>33</v>
      </c>
      <c r="B34" s="2" t="inlineStr">
        <is>
          <t>123-CCT-SINDICATO DOS EMPREGADOS NO COMERCIO DE CASCAVEL E REGIAO - FEDERACAO DO COMERCIO DE BENS, SERVICOS E TURISMO DO PARANA-01-06-2025.pdf</t>
        </is>
      </c>
      <c r="C34" s="2" t="inlineStr">
        <is>
          <t>FEDERACAO DO COMERCIO DE BENS, SERVICOS E TURISMO DO PARANA</t>
        </is>
      </c>
      <c r="D34" s="2" t="inlineStr">
        <is>
          <t>SINDICATO DO COMERCIO ATACADISTA E DISTRIBUIDORES DO ESTADO</t>
        </is>
      </c>
      <c r="E34" s="2" t="inlineStr">
        <is>
          <t>02.818.811/0001-20</t>
        </is>
      </c>
      <c r="F34" s="2" t="inlineStr">
        <is>
          <t>76.687.615/0001-08</t>
        </is>
      </c>
      <c r="G34" s="2" t="inlineStr">
        <is>
          <t>01º de junho de
2025</t>
        </is>
      </c>
      <c r="H34" s="2" t="inlineStr">
        <is>
          <t>31 de maio de 2026</t>
        </is>
      </c>
      <c r="I34" s="2" t="inlineStr">
        <is>
          <t>01º de junho de
2025</t>
        </is>
      </c>
      <c r="J34" s="2" t="inlineStr">
        <is>
          <t>6,20%</t>
        </is>
      </c>
      <c r="K34" s="2"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L34" s="2" t="inlineStr"/>
      <c r="M34" s="2" t="inlineStr"/>
      <c r="N34" s="2"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Outras disposições sobre relação entre sindicato e empresa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O34" s="2" t="inlineStr">
        <is>
          <t>Compensação de Jornada</t>
        </is>
      </c>
      <c r="P34" s="2" t="inlineStr">
        <is>
          <t>aviso prévio indenizado, adotar-</t>
        </is>
      </c>
      <c r="Q34" s="2" t="inlineStr">
        <is>
          <t>penalidade prevista na cláusula 43ª desta Convenção</t>
        </is>
      </c>
    </row>
    <row r="35">
      <c r="A35" s="2" t="n">
        <v>34</v>
      </c>
      <c r="B35" s="2" t="inlineStr">
        <is>
          <t>123-CCT-SINDICATO DOS EMPREGADOS NO COMERCIO DE CASCAVEL E REGIAO - SIND DOS ESTABELECIMENTOS DE SERV FUNERARIO EST PARANA-01-06-2024.pdf</t>
        </is>
      </c>
      <c r="C35" s="2" t="inlineStr">
        <is>
          <t>SINDICATO DOS EMPREGADOS NO COMERCIO DE CASCAVEL E REGIAO</t>
        </is>
      </c>
      <c r="D35" s="2" t="inlineStr">
        <is>
          <t>SIND DOS ESTABELECIMENTOS DE SERV FUNERARIO EST PARANA</t>
        </is>
      </c>
      <c r="E35" s="2" t="inlineStr"/>
      <c r="F35" s="2" t="inlineStr">
        <is>
          <t>78.206.786/0001-95</t>
        </is>
      </c>
      <c r="G35" s="2" t="inlineStr">
        <is>
          <t>01º de junho de
2024</t>
        </is>
      </c>
      <c r="H35" s="2" t="inlineStr">
        <is>
          <t>31 de maio de 2026</t>
        </is>
      </c>
      <c r="I35" s="2" t="inlineStr">
        <is>
          <t>01º de junho de
2024</t>
        </is>
      </c>
      <c r="J35" s="2" t="inlineStr">
        <is>
          <t>5,00%</t>
        </is>
      </c>
      <c r="K35" s="2"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35" s="2" t="inlineStr"/>
      <c r="M35" s="2" t="inlineStr"/>
      <c r="N35" s="2"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Disposições Gerais Aplicação do Instrumento Coletivo
**Seguro de Vida**:
seguro de vida e acidentes pessoais em favor dos empregados que desenvolvam serviços preponderantemente externos, na condução de veículos. Relações Sindicais Direito de Oposição ao Desconto de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 se-á a média das comissões nos doze meses anteriores ao mês da rescisão; e no caso de férias integrais, será considerada a média das comissões nos doze meses ...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35" s="2" t="inlineStr">
        <is>
          <t>Compensação de Jornada</t>
        </is>
      </c>
      <c r="P35" s="2" t="inlineStr">
        <is>
          <t>aviso prévio indenizado, adotar-</t>
        </is>
      </c>
      <c r="Q35" s="2" t="inlineStr">
        <is>
          <t>penalidade prevista na cláusula 43ª desta Convenção</t>
        </is>
      </c>
    </row>
    <row r="36">
      <c r="A36" s="2" t="n">
        <v>35</v>
      </c>
      <c r="B36" s="2" t="inlineStr">
        <is>
          <t>123-CCT-SINDICATO DOS EMPREGADOS NO COMERCIO DE CASCAVEL E REGIAO - SINDICATO DAS EMPRESAS CEREALISTAS DO ESTADO DO PARANA - SIN-01-06-2025.pdf</t>
        </is>
      </c>
      <c r="C36" s="2" t="inlineStr">
        <is>
          <t>SINDICATO DOS EMPREGADOS NO COMERCIO DE CASCAVEL E REGIAO</t>
        </is>
      </c>
      <c r="D36" s="2" t="inlineStr">
        <is>
          <t>SINDICATO DAS EMPRESAS CEREALISTAS DO ESTADO DO PARANA - SINDICEREAL-PR</t>
        </is>
      </c>
      <c r="E36" s="2" t="inlineStr"/>
      <c r="F36" s="2" t="inlineStr"/>
      <c r="G36" s="2" t="inlineStr">
        <is>
          <t>01º de junho de
2025</t>
        </is>
      </c>
      <c r="H36" s="2" t="inlineStr">
        <is>
          <t>31 de maio de 2026</t>
        </is>
      </c>
      <c r="I36" s="2" t="inlineStr">
        <is>
          <t>01º de junho de
2025</t>
        </is>
      </c>
      <c r="J36" s="2" t="inlineStr">
        <is>
          <t>6,20%</t>
        </is>
      </c>
      <c r="K36" s="2" t="inlineStr"/>
      <c r="L36" s="2" t="inlineStr"/>
      <c r="M36" s="2" t="inlineStr"/>
      <c r="N36" s="2"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 Os descontos em folha de pagamento serão autorizados por meio da formalização de contrato de convênio, junto às entidades credoras dos benefícios supracitados ou mediante a formalização de ...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**PPR / Participação nos Lucros**:
Participação nos Lucros e/ou Resultados
**Diárias / Ressarcimento**:
diárias de trabalho. Parágrafo quarto -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36" s="2" t="inlineStr">
        <is>
          <t>jornada de trabalho inferior as 44
horas semanais, o valor do Vale Alimentação será equivalente ao número de horas diárias de | banco de horas, cada hora extra</t>
        </is>
      </c>
      <c r="P36" s="2" t="inlineStr">
        <is>
          <t>aviso prévio indenizado pelo empregado ou pelo empregador, o</t>
        </is>
      </c>
      <c r="Q36" s="2" t="inlineStr"/>
    </row>
    <row r="37">
      <c r="A37" s="2" t="n">
        <v>36</v>
      </c>
      <c r="B37" s="2" t="inlineStr">
        <is>
          <t>123-CCT-SINDICATO DOS EMPREGADOS NO COMERCIO DE CASCAVEL E REGIAO - SINDICATO DO COMERCIO VAREJISTA DE MATERIAL OPTICO, FOTOGRAF-01-06-2025.pdf</t>
        </is>
      </c>
      <c r="C37" s="2" t="inlineStr">
        <is>
          <t>SINDICATO DOS EMPREGADOS NO COMERCIO DE CASCAVEL E REGIAO</t>
        </is>
      </c>
      <c r="D37" s="2" t="inlineStr">
        <is>
          <t>SINDICATO DO COMERCIO VAREJISTA DE MATERIAL OPTICO, FOTOGRAF</t>
        </is>
      </c>
      <c r="E37" s="2" t="inlineStr"/>
      <c r="F37" s="2" t="inlineStr"/>
      <c r="G37" s="2" t="inlineStr">
        <is>
          <t>01º de junho de
2025</t>
        </is>
      </c>
      <c r="H37" s="2" t="inlineStr">
        <is>
          <t>31 de maio de 2026</t>
        </is>
      </c>
      <c r="I37" s="2" t="inlineStr">
        <is>
          <t>01º de junho de
2025</t>
        </is>
      </c>
      <c r="J37" s="2" t="inlineStr">
        <is>
          <t>6,20%</t>
        </is>
      </c>
      <c r="K37" s="2" t="inlineStr">
        <is>
          <t>A) Aos empregados lotados nas funções de continuo, pacoteiro, office-boy, auxilia de serviços gerais, zelador, porteiro ou equivalentes -: R$ 1.703,93
B) Aos demais empregados -: R$ 2.010,00
D) Aos empregados remunerados mediante comissão, ou aqueles que recebem remuneração composta de parcela fixa e comissões, e que contam com mais de 90 (noventa) dias de trabalho ao mesmo empregador, caso a remuneração total não alcance o valor correspondente, assegura-se uma garantia salarial mínima de: R$ 2.045,00</t>
        </is>
      </c>
      <c r="L37" s="2" t="inlineStr"/>
      <c r="M37" s="2" t="inlineStr"/>
      <c r="N37" s="2" t="inlineStr">
        <is>
          <t>**Refeição / Alimentação (VA/VR)**:
refeição fornecida pelo empregador ou a um pagamento no valor de R$ 34,83 (Trinta e Quatro Reais e Oitenta e Três Centavos) por dia em que ocorrer tal situação. Tal parcela terá natureza indenizatória.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**Plano Odontológico**:
odontológicos e laboratoriais e manutenção da sede do sindicato para uso dos empregados interessados. Parágrafo sexto - As empresas efetuarão o desconto acima observando a legislação vigente como simples intermediários, não lhes cabendo nenhum ônus judicial ou extrajudicial, assumindo desde já, a entidade dos trabalhadores convenente, a total responsabilidade pelos valores indicados e descontados ...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**Descanso Semanal Remunerado**:
repouso semanal remunerado, a qual não se somará com as comissões devidas. Na garantia salarial ora fixada já está computado o repouso semanal remunerado; PARÁGRAFO ÚNICO: Nos primeiros noventa dias de contratualidade, fica garantido salário igual ao Salário-Mínimo fixado pelo Governo Federal,a todos os empregados abrangidos pela Convenção Coletiva de Trabalho. Reajustes/Correções Salariais
**Abono de Faltas**:
ABONO DE FALTAS Abonar-se-ão faltas aos empregados estudantes e vestibulandos, nos dias em que estiver comprovadamente realizando provas de exame vestibular para ingresso em estabelecimento de ensino superior. Outras disposições sobre jornada</t>
        </is>
      </c>
      <c r="O37" s="2" t="inlineStr">
        <is>
          <t>Compensação de Jornada</t>
        </is>
      </c>
      <c r="P37" s="2" t="inlineStr">
        <is>
          <t>aviso prévio indenizado, adotar-</t>
        </is>
      </c>
      <c r="Q37" s="2" t="inlineStr"/>
    </row>
    <row r="38">
      <c r="A38" s="2" t="n">
        <v>37</v>
      </c>
      <c r="B38" s="2" t="inlineStr">
        <is>
          <t>123-CCT-SINDICATO DOS EMPREGADOS NO COMERCIO DE CASCAVEL E REGIAO - SINDICATO DOS LOJISTAS E DO COMERCIO VAREJISTA DE CASCAVEL E-01-06-2025.pdf</t>
        </is>
      </c>
      <c r="C38" s="2" t="inlineStr">
        <is>
          <t>SINDICATO DOS LOJISTAS E DO COMERCIO VAREJISTA DE CASCAVEL E REGIAO-SINDILOJAS</t>
        </is>
      </c>
      <c r="D38" s="2" t="inlineStr">
        <is>
          <t>SINDICATO DOS EMPREGADOS NO COMERCIO DE CASCAVEL E REGIAO</t>
        </is>
      </c>
      <c r="E38" s="2" t="inlineStr">
        <is>
          <t>78.121.233/0001-30</t>
        </is>
      </c>
      <c r="F38" s="2" t="inlineStr"/>
      <c r="G38" s="2" t="inlineStr">
        <is>
          <t>01º de junho de
2025</t>
        </is>
      </c>
      <c r="H38" s="2" t="inlineStr">
        <is>
          <t>31 de maio de 2027</t>
        </is>
      </c>
      <c r="I38" s="2" t="inlineStr">
        <is>
          <t>01º de junho de
2025</t>
        </is>
      </c>
      <c r="J38" s="2" t="inlineStr"/>
      <c r="K38" s="2" t="inlineStr"/>
      <c r="L38" s="2" t="inlineStr"/>
      <c r="M38" s="2" t="inlineStr"/>
      <c r="N38" s="2"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O38" s="2" t="inlineStr">
        <is>
          <t>banco de horas.</t>
        </is>
      </c>
      <c r="P38" s="2" t="inlineStr"/>
      <c r="Q38" s="2" t="inlineStr"/>
    </row>
    <row r="39">
      <c r="A39" s="2" t="n">
        <v>38</v>
      </c>
      <c r="B39" s="2" t="inlineStr">
        <is>
          <t>123-CCT-SINDICATO DOS EMPREGADOS NO COMERCIO DE CASCAVEL E REGIAO - SINDICATO INTERMUNICIPAL DO COMERCIO VAREJISTA DE MATERIAIS-01-06-2025.pdf</t>
        </is>
      </c>
      <c r="C39" s="2" t="inlineStr">
        <is>
          <t>SINDICATO INTERMUNICIPAL DO COMERCIO VAREJISTA DE MATERIAIS</t>
        </is>
      </c>
      <c r="D39" s="2" t="inlineStr">
        <is>
          <t>recibo. Parágrafo Segundo: A empresa deverá encaminhar um e-mail, para o endereço simacopr@simaco.com.br, comprovando o pagamento e informando o número total de empregados por matriz e filiais. Parágrafo Terceiro: A contribuição acima referida deve ser recolhida até 60 (sessenta) dias corridos após a data da assinatura da presente convenção coletiva ou aditivo, sendo que após a data as empresas inadimplentes estão sujeitas a multa moratória de 2% (dois por cento) e juros de 1% (um por cento) ao mês sobre o valor respectivo e correção monetária com base na variação do INPC, sem prejuízo da multa convencional. Parágrafo Quarto: As empresas que compõem a categoria econômica na base territorial sindical, associadas ou não, beneficiárias desta Convenção Coletiva de Trabalho, recolherão em favor do Sindicato Intermunicipal do Comércio Varejista de Materiais de Construção no Estado do Paraná – SIMACO PR, uma parcela anual a título de contribuição assistencial, segundo deliberação da Assembleia Geral e conforme lhe faculta o art. 8º, inciso IV da Constituição Federal e art. 513, letras "b" e "c" da CLT, para manutenção dos serviços assistenciais da entidade, de acordo com a tabela abaixo considerando seu faturamento: Faixa de faturamento bruto anual Tabela para recolhimento da contribuição assistencial anual a) Até R$ 4.800.000,00 – Valor a recolher R$ 396,00; b) Até R$ 9.600,000,00 – Valor a recolher R$ 792,00; c) Até R$ 19.200.000,00 – Valor a recolher R$ 1.584,00; d) Até R$ 38.400.000,00 – Valor a recolher R$ 3.168,00; e) Acima de R$ 38.400.000,00 – Valor a recolher R$ 6.366,00. Parágrafo Primeiro: O recolhimento da contribuição deverá ser realizado de maneira ativa pelas empresas via o CNPJ da matriz juntamente com a soma dos valores relativos as filiais, independentemente de notificação prévia ou envio de guias ou boletos, conforme seu faturamento bruto anual apurado no exercício contábil anterior e considerando a tabela acima, com o pagamento sendo efetuado via Pix</t>
        </is>
      </c>
      <c r="E39" s="2" t="inlineStr">
        <is>
          <t>76.683.028/0001-32</t>
        </is>
      </c>
      <c r="F39" s="2" t="inlineStr">
        <is>
          <t>76.683.028/0001-32</t>
        </is>
      </c>
      <c r="G39" s="2" t="inlineStr">
        <is>
          <t>01º de junho de
2025</t>
        </is>
      </c>
      <c r="H39" s="2" t="inlineStr">
        <is>
          <t>31 de maio de 2026</t>
        </is>
      </c>
      <c r="I39" s="2" t="inlineStr">
        <is>
          <t>01º de junho de
2025</t>
        </is>
      </c>
      <c r="J39" s="2" t="inlineStr">
        <is>
          <t>6,20%</t>
        </is>
      </c>
      <c r="K39" s="2" t="inlineStr"/>
      <c r="L39" s="2"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39" s="2" t="inlineStr"/>
      <c r="N39" s="2" t="inlineStr">
        <is>
          <t>**Refeição / Alimentação (VA/VR)**:
vale-refeição ou alimentação aos empregados abrangidos pela categoria, no valor mensal de R$308,00 (Trezentos e Oito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Pará...
**Plano de Saúde / Assistência Médica**:
assistência médica, mensalidade sindical ou de associação e outros, desde que haja consentimento por escrito do empregado. Outras normas referentes a salários, reajustes, pagamentos e critérios para cálculo
**Plano Odontológico**: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
**Bolsa / Estudo**:
ESTUDANTES O empregado terá abonadas as faltas ao serviço nos dias em que prestar exames vestibulares na região em que trabalha, devendo comunicar o empregador com antecedência mínima de 48 (quarenta e oito) horas. Férias e Licenças Outras disposições sobre férias e licenças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R$308,00 (Trezentos e Oito Reai...
**Descanso Semanal Remunerado**:
descanso semanal remunerado ou ainda, lançadas como crédito em Banco de Horas, para aqueles contratos que tenham aderido ao Banco. c) As empresas interessadas na emissão da CERTIDÃO DE ADESÃO, deverão apresentar REQUERIMENTO junto ao Sindicato Patronal, no prazo de 15 (quinze) dias antes de cada feriado, mediante protocolo eletrônico, através do e-mail executivo@simaco.org.br d) Neste requerimento...
**FGTS**:
FGTS. Jornada de Trabalho – Duração, Distribuição, Controle, Faltas Duração e Horário</t>
        </is>
      </c>
      <c r="O39" s="2" t="inlineStr">
        <is>
          <t>Banco de Horas, para aqueles contratos que tenham aderido ao Banco.</t>
        </is>
      </c>
      <c r="P39" s="2" t="inlineStr"/>
      <c r="Q39" s="2" t="inlineStr"/>
    </row>
    <row r="40">
      <c r="A40" s="2" t="n">
        <v>39</v>
      </c>
      <c r="B40" s="2" t="inlineStr">
        <is>
          <t>123-CCT-SINDICATO DOS EMPREGADOS NO COMERCIO DE CASCAVEL E REGIAO-01-06-2025.pdf</t>
        </is>
      </c>
      <c r="C40" s="2" t="inlineStr">
        <is>
          <t>SINDICATO DOS LOJISTAS E DO COMERCIO VAREJISTA DE CASCAVEL E REGIAO-SINDILOJAS</t>
        </is>
      </c>
      <c r="D40" s="2" t="inlineStr">
        <is>
          <t>SINDICATO DOS EMPREGADOS NO COMERCIO DE CASCAVEL E REGIAO</t>
        </is>
      </c>
      <c r="E40" s="2" t="inlineStr">
        <is>
          <t>78.121.233/0001-30</t>
        </is>
      </c>
      <c r="F40" s="2" t="inlineStr"/>
      <c r="G40" s="2" t="inlineStr">
        <is>
          <t>01º de junho de
2025</t>
        </is>
      </c>
      <c r="H40" s="2" t="inlineStr">
        <is>
          <t>31 de maio de 2027</t>
        </is>
      </c>
      <c r="I40" s="2" t="inlineStr">
        <is>
          <t>01º de junho de
2025</t>
        </is>
      </c>
      <c r="J40" s="2" t="inlineStr"/>
      <c r="K40" s="2" t="inlineStr"/>
      <c r="L40" s="2" t="inlineStr"/>
      <c r="M40" s="2" t="inlineStr"/>
      <c r="N40" s="2" t="inlineStr">
        <is>
          <t>**Auxílio Transporte / Vale-transporte**:
vale transportes de quem utiliza e mais um dia de folga concedido em no máximo 150 dias. Parágrafo Setimo – Esta
**Plano Odontológico**:
odontológicos e laboratoriais e manutenção da sede do sindicato para uso dos empregados interessados. Disposições Gerais Aplicação do Instrumento Coletivo
**Bolsa / Estudo**:
ESTUDANTES O empregado terá abonadas as faltas ao serviço nos dias em que prestar exames vestibulares e provas do Enem, na região em que trabalha, devendo comunicar o empregador com antecedência mínima de 48 (quarenta e oito) horas. Outras disposições sobre jornada
**Diárias / Ressarcimento**: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**Adicional Noturno**: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com acréscim...
**Horas Extras**: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R$120,00 (cento e vinte reais) a título de bonificação ou o pagamento de horas extras...
**Descanso Semanal Remunerado**: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t>
        </is>
      </c>
      <c r="O40" s="2" t="inlineStr">
        <is>
          <t>banco de horas.</t>
        </is>
      </c>
      <c r="P40" s="2" t="inlineStr"/>
      <c r="Q40" s="2" t="inlineStr"/>
    </row>
    <row r="41">
      <c r="A41" s="2" t="n">
        <v>40</v>
      </c>
      <c r="B41" s="2" t="inlineStr">
        <is>
          <t>123-TA-CCT-SINDICATO DOS EMPREGADOS NO COMERCIO DE CASCAVEL E REGIAO - SINDICATO DOS LOJISTAS E DO COMERCIO VAREJISTA DE CASCAVEL E-30-10-2025.pdf</t>
        </is>
      </c>
      <c r="C41" s="2" t="inlineStr">
        <is>
          <t>SINDICATO DOS LOJISTAS E DO COMERCIO VAREJISTA DE CASCAVEL E REGIAO-SINDILOJAS</t>
        </is>
      </c>
      <c r="D41" s="2" t="inlineStr">
        <is>
          <t>SINDICATO DOS EMPREGADOS NO COMERCIO DE CASCAVEL E REGIAO</t>
        </is>
      </c>
      <c r="E41" s="2" t="inlineStr">
        <is>
          <t>78.121.233/0001-30</t>
        </is>
      </c>
      <c r="F41" s="2" t="inlineStr"/>
      <c r="G41" s="2" t="inlineStr">
        <is>
          <t>30
de outubro de 2025</t>
        </is>
      </c>
      <c r="H41" s="2" t="inlineStr">
        <is>
          <t>31 de maio de 2026</t>
        </is>
      </c>
      <c r="I41" s="2" t="inlineStr">
        <is>
          <t>30
de outubro de 2025</t>
        </is>
      </c>
      <c r="J41" s="2" t="inlineStr"/>
      <c r="K41" s="2" t="inlineStr"/>
      <c r="L41" s="2" t="inlineStr"/>
      <c r="M41" s="2" t="inlineStr"/>
      <c r="N41" s="2" t="inlineStr">
        <is>
          <t>Não especificado</t>
        </is>
      </c>
      <c r="O41" s="2" t="inlineStr"/>
      <c r="P41" s="2" t="inlineStr"/>
      <c r="Q41" s="2" t="inlineStr"/>
    </row>
    <row r="42">
      <c r="A42" s="2" t="n">
        <v>41</v>
      </c>
      <c r="B42" s="2" t="inlineStr">
        <is>
          <t>130-CCT-SINDICATO DOS EMPREGADOS NO COMERCIO DE PATO BRANCO - SINDICATO DAS EMPRESAS CEREALISTAS DO ESTADO DO PARANA - SIN-01-06-2025.pdf</t>
        </is>
      </c>
      <c r="C42" s="2" t="inlineStr">
        <is>
          <t>SINDICATO DOS EMPREGADOS NO COMERCIO DE PATO BRANCO</t>
        </is>
      </c>
      <c r="D42" s="2" t="inlineStr">
        <is>
          <t>SINDICATO DAS EMPRESAS CEREALISTAS DO ESTADO DO PARANA - SINDICEREAL-PR</t>
        </is>
      </c>
      <c r="E42" s="2" t="inlineStr">
        <is>
          <t>78.676.665/0001-07</t>
        </is>
      </c>
      <c r="F42" s="2" t="inlineStr">
        <is>
          <t>15.106.815/0001-27</t>
        </is>
      </c>
      <c r="G42" s="2" t="inlineStr">
        <is>
          <t>01º de junho de
2025</t>
        </is>
      </c>
      <c r="H42" s="2" t="inlineStr">
        <is>
          <t>31 de maio de 2026</t>
        </is>
      </c>
      <c r="I42" s="2" t="inlineStr">
        <is>
          <t>01º de junho de
2025</t>
        </is>
      </c>
      <c r="J42" s="2" t="inlineStr">
        <is>
          <t>6,20%</t>
        </is>
      </c>
      <c r="K42" s="2" t="inlineStr"/>
      <c r="L42" s="2"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M42" s="2" t="inlineStr"/>
      <c r="N42" s="2" t="inlineStr">
        <is>
          <t>**Auxílio Transporte / Vale-transporte**: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
**Refeição / Alimentação (VA/VR)**:
Vale Alimentação; • Vale (Ticket) Refeição; • Multas de trânsitos; • Participação na Previdência Privada; mediante adesão; • Avarias e danos no patrimônio da empresa por culpa do empregado. Parágrafo primeiro: Os descontos em folha de pagamento serão autorizados por meio da formalização de contrato de convênio, junto às entidades credoras dos benefícios supracitados ou mediante a formalização de t...
**Auxílio Creche**:
Auxílio Creche
**Plano de Saúde / Assistência Médica**: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
**Plano Odontológico**: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Empréstimos consignáveis, ou os empréstimos concedidos diretamente pela empresa; •...
**Seguro de Vida**:
Seguro de vida em grupo; • Vale Transporte; • Contribuição ao plano de saúde e odontológico; • Despesas decorrentes de consultas médicas, de exames laboratoriais, de tratamentos odontológicos, de aquisição de medicamentos, de tratamento fisioterápico e outros procedimentos vinculados ao Plano de Saúde e Odontológico, referentes à coparticipação dos empregados não coberta pelo referido plano; • Emp...
**Bolsa / Estudo**:
estudantes e vestibulandos, nos dias em que estiverem comprovadamente realizando provas de exame vestibular para ingresso em estabelecimento de ensino superior. São garantidas todas as hipóteses legais de ausências justificadas previstas na legislação. Outras disposições sobre jornada
**PPR / Participação nos Lucros**:
Participação nos Lucros e/ou Resultados
**Diárias / Ressarcimento**:
diárias de trabalho. Parágrafo quarto: Aos empregados contratados pelo programa do APRENDIZ conforme Lei nº 10.097/2000, o valor do Vale Alimentação será equivalente ao número de horas diárias de trabalho. Auxílio Creche
**Adicional Noturno**:
Adicional Noturno
**Horas Extras**:
hora extra trabalhada já irá convertida com o percentual previsto na
**Descanso Semanal Remunerado**:
descanso semanal remunerado recaía em dia de domingo, a cada 3 domingos para homens e a cada 2 domingos para mulheres. Férias e Licenças Remuneração de Férias
**Abono de Faltas**:
ABONO DE FALTAS No caso de falecimento de cônjuge, companheiro, pais, filhos e irmãos, o empregado será liberado do trabalho por 05 (cinco dias) consecutivos. Em se tratando de falecimento de avós, netos, sogro, sogra, tios, cunhados ou pessoa que comprovem dependência econômica, o empregado terá direto a 02 (dois) dias consecutivos de ausência, sem prejuízo do salário. Em todos os casos, o empreg...</t>
        </is>
      </c>
      <c r="O42" s="2" t="inlineStr">
        <is>
          <t>jornada de trabalho inferior a 44 horas | banco de horas, cada hora extra</t>
        </is>
      </c>
      <c r="P42" s="2" t="inlineStr">
        <is>
          <t>aviso prévio indenizado pelo empregado ou pelo empregador, o</t>
        </is>
      </c>
      <c r="Q42" s="2" t="inlineStr"/>
    </row>
    <row r="43">
      <c r="A43" s="2" t="n">
        <v>42</v>
      </c>
      <c r="B43" s="2" t="inlineStr">
        <is>
          <t>130-CCT-SINDICATO DOS EMPREGADOS NO COMERCIO DE PATO BRANCO - SINDICATO DO COM DE VEIC PECAS E ACES PARA VEIC, MOT E BIC,-01-06-2025.pdf</t>
        </is>
      </c>
      <c r="C43" s="2" t="inlineStr">
        <is>
          <t>SINDICATO DOS EMPREGADOS NO COMERCIO DE PATO BRANCO</t>
        </is>
      </c>
      <c r="D43" s="2" t="inlineStr">
        <is>
          <t>SINDICATO DO COM DE VEIC PECAS E ACES PARA VEIC, MOT E BIC, COM IMPORT, DISTR DE AUTOP E MOTOP, ROL E ACES NO EST DO PARANA</t>
        </is>
      </c>
      <c r="E43" s="2" t="inlineStr">
        <is>
          <t>78.676.665/0001-07</t>
        </is>
      </c>
      <c r="F43" s="2" t="inlineStr">
        <is>
          <t>76.682.236/0001-17</t>
        </is>
      </c>
      <c r="G43" s="2" t="inlineStr">
        <is>
          <t>01º de junho de
2025</t>
        </is>
      </c>
      <c r="H43" s="2" t="inlineStr">
        <is>
          <t>31 de maio de 2026</t>
        </is>
      </c>
      <c r="I43" s="2" t="inlineStr">
        <is>
          <t>01º de junho de
2025</t>
        </is>
      </c>
      <c r="J43" s="2" t="inlineStr">
        <is>
          <t>6,20%</t>
        </is>
      </c>
      <c r="K43" s="2" t="inlineStr"/>
      <c r="L43" s="2" t="inlineStr">
        <is>
          <t>2,0% - CONTRIBUIÇÃO NEGOCIAL DOS EMPREGADOS Em conformidade com o disposto nos incisos III E IV, artigo 8º da Constituição da República, tema 935 do STF, art. 8º da Convenção Internacional nº 95 da OIT (Organização Internacional do Trabalho) ratificada pelo Brasil, art. 611-A da CLT, Notas Técnicas 02/2018...</t>
        </is>
      </c>
      <c r="M43" s="2" t="inlineStr"/>
      <c r="N43" s="2" t="inlineStr">
        <is>
          <t>**Refeição / Alimentação (VA/VR)**:
VALE REFEIÇÃO/ALIMENTAÇÃO Fica estabelecida a obrigatoriedade do fornecimento do vale-refeição ou vale-alimentação aos empregados abrangidos pela categoria, no valor de R$15,00 (quinze reais) por dia trabalhado, a partir da data da assinatura da presente Convenção. A empresa oferecerá, conforme seu critério, vale-refeição ou vale-alimentação, no valor diário acima estabelecido. A empresa poderá ai...
**Auxílio Creche**:
CRECHES Os estabelecimentos que tenham em seus quadros 30 (trinta) ou mais mulheres com mais de 16 (dezesseis) anos de idade, propiciarão ou manterão convênios com creches para guarda e assistência de seus filhos no período de amamentação, de acordo com o parágrafo 1º do inciso IV, do Artigo 389 da CLT, ou reembolsarão o valor pago pela empregada.
**Plano Odontológico**:
odontológicos dos profissionais da Previdência Social, da Entidade Sindical dos Empregados, da empresa ou organização por ela contratada. Relações Sindicais Contribuições Sindicais
**Bolsa / Estudo**:
estudantes que prestarem vestibular, desde que comprovem a prestação de exames na cidade em que trabalhem ou residem, é assegurado o abono do dia de trabalho. Jornadas Especiais (mulheres, menores, estudantes)
**Diárias / Ressarcimento**:
diárias de trabalho, conforme Lei 12.790/2013. Prorrogação/Redução de Jornada
**Adicional de Insalubridade**:
Adicional de Insalubridade
**Adicional Noturno**:
Adicional Noturno
**Horas Extras**:
hora extra do comissionado será considerado o valor do ganho no mês dividido por 220 (duzentas e vinte) horas. § 5º - Lei nº 10243 - Art.58 § 1º Não serão descontados nem computados como jornada extraordinária as variações de horário no registro de ponto não excedentes de 5 minutos, observando o limite máximo de 10 minutos diários. § 6º - ATIVIDADE FORA DO AMBIENTE NORMAL DE TRABALHO: o trabalhado...
**Descanso Semanal Remunerado**:
repouso semanal remunerado.
**Abono de Faltas**:
ABONO DE FALTAS AO VESTIBULANDO Aos empregados estudantes que prestarem vestibular, desde que comprovem a prestação de exames na cidade em que trabalhem ou residem, é assegurado o abono do dia de trabalho. Jornadas Especiais (mulheres, menores, estudantes)
**FGTS**:
FGTS; no caso do empregado comissionista deverá constar, ainda, o valor das vendas do mês sobre as quais foram calculadas as comissões e o repouso semanal remunerado.</t>
        </is>
      </c>
      <c r="O43" s="2" t="inlineStr"/>
      <c r="P43" s="2" t="inlineStr">
        <is>
          <t>aviso prévio indenizado, serão atualizadas com base no INPC - ÍNDICE</t>
        </is>
      </c>
      <c r="Q43" s="2" t="inlineStr"/>
    </row>
    <row r="44">
      <c r="A44" s="2" t="n">
        <v>43</v>
      </c>
      <c r="B44" s="2" t="inlineStr">
        <is>
          <t>130-CCT-SINDICATO DOS EMPREGADOS NO COMERCIO DE PATO BRANCO - SINDICATO DO COMERCIO VAREJISTA DE MATERIAL OPTICO, FOTOGRAF-01-06-2025.pdf</t>
        </is>
      </c>
      <c r="C44" s="2" t="inlineStr">
        <is>
          <t>SINDICATO DOS EMPREGADOS NO COMERCIO DE PATO BRANCO</t>
        </is>
      </c>
      <c r="D44" s="2" t="inlineStr">
        <is>
          <t>SINDICATO DO COMERCIO VAREJISTA DE MATERIAL OPTICO, FOTOGRAF</t>
        </is>
      </c>
      <c r="E44" s="2" t="inlineStr">
        <is>
          <t>78.676.665/0001-07</t>
        </is>
      </c>
      <c r="F44" s="2" t="inlineStr">
        <is>
          <t>80.920.085/0001-65</t>
        </is>
      </c>
      <c r="G44" s="2" t="inlineStr">
        <is>
          <t>01º de junho de
2025</t>
        </is>
      </c>
      <c r="H44" s="2" t="inlineStr">
        <is>
          <t>31 de maio de 2026</t>
        </is>
      </c>
      <c r="I44" s="2" t="inlineStr">
        <is>
          <t>01º de junho de
2025</t>
        </is>
      </c>
      <c r="J44" s="2" t="inlineStr">
        <is>
          <t>6,10%</t>
        </is>
      </c>
      <c r="K44" s="2" t="inlineStr">
        <is>
          <t>A) Aos empregados de copa, cozinha, limpeza, vigilância e guardas contínuos, “office-boys”: R$ 1.895,00
B) Aos demais empregados: R$ 2.087,00
C) Aos Comissionados: Assegura-se aos comissionados, piso salarial de: R$ 2.105,00</t>
        </is>
      </c>
      <c r="L44" s="2" t="inlineStr">
        <is>
          <t>2,0% - CONTRIBUIÇÃO NEGOCIAL DOS EMPREGADOS Em conformidade com o disposto no inciso IV, artigo 8º, da Constituição Federal e por deliberação e aprovação de Assembleia Geral da Categoria Profissional, deverão as empresas descontar de seus empregados e recolher ao Sindicato Profissional, até o dia 10 (dez) ...</t>
        </is>
      </c>
      <c r="M44" s="2" t="inlineStr"/>
      <c r="N44" s="2" t="inlineStr">
        <is>
          <t>**Refeição / Alimentação (VA/VR)**:
refeição fornecida pelo empregador ou a um pagamento equivalente a R$ 34,00 (Trinta e quatro reais) por dia em que ocorrer tal situação. Tal parcela terá natureza indenizatória.
**Bolsa / Estudo**:
estudantes que comprovem a sua situação escolar, desde que expressem o seu desinteresse pela prorrogação.
**Descanso Semanal Remunerado**:
repouso semanal remunerado. .1 Para cálculo do 13º salário, adotar-se-á a média das comissões pagas no ano, a contar de janeiro; no caso de férias indenizadas, integrais ou proporcionais, indenização, aviso prévio indenizado, adotar-se-á a média das comissões nos doze meses anteriores ao mês da rescisão; e no caso de férias integrais, será considerada a média das comissões nos doze meses anteriore...
**Abono de Faltas**:
ABONO DE FALTAS Abonar-se-ão faltas aos empregados estudantes e vestibulandos, quando comprovarem prestação de exames na cidade em que trabalham. Outras disposições sobre jornada</t>
        </is>
      </c>
      <c r="O44" s="2" t="inlineStr"/>
      <c r="P44" s="2" t="inlineStr">
        <is>
          <t>aviso prévio
indenizado, adotar-se-á a média das comissões nos doze meses anteriores ao mês da rescisão;</t>
        </is>
      </c>
      <c r="Q44" s="2" t="inlineStr">
        <is>
          <t>penalidade da cláusula 40.</t>
        </is>
      </c>
    </row>
    <row r="45">
      <c r="A45" s="2" t="n">
        <v>44</v>
      </c>
      <c r="B45" s="2" t="inlineStr">
        <is>
          <t>130-CCT-SINDICATO DOS EMPREGADOS NO COMERCIO DE PATO BRANCO - SINDICATO INTERMUNICIPAL DO COMERCIO VAREJISTA DE MATERIAIS-01-06-2025.pdf</t>
        </is>
      </c>
      <c r="C45" s="2" t="inlineStr">
        <is>
          <t>SINDICATO DOS EMPREGADOS NO COMERCIO DE PATO BRANCO</t>
        </is>
      </c>
      <c r="D45" s="2" t="inlineStr">
        <is>
          <t>SINDICATO INTERMUNICIPAL DO COMERCIO VAREJISTA DE MATERIAIS</t>
        </is>
      </c>
      <c r="E45" s="2" t="inlineStr">
        <is>
          <t>78.676.665/0001-07</t>
        </is>
      </c>
      <c r="F45" s="2" t="inlineStr">
        <is>
          <t>76.683.028/0001-32</t>
        </is>
      </c>
      <c r="G45" s="2" t="inlineStr">
        <is>
          <t>01º de junho de
2025</t>
        </is>
      </c>
      <c r="H45" s="2" t="inlineStr">
        <is>
          <t>31 de maio de 2026</t>
        </is>
      </c>
      <c r="I45" s="2" t="inlineStr">
        <is>
          <t>01º de junho de
2025</t>
        </is>
      </c>
      <c r="J45" s="2" t="inlineStr">
        <is>
          <t>2,0%</t>
        </is>
      </c>
      <c r="K45" s="2"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L45" s="2" t="inlineStr">
        <is>
          <t>2% - CONTRIBUIÇÃO NEGOCIAL E ASSISTENCIAL PATRONAL As empresas que compõem a categoria econômica, associadas ou não, beneficiárias desta Convenção Coletiva de Trabalho, recolherão em favor do Sindicato Intermunicipal do Comércio Varejista de Materiais de Construção no Estado do Paraná, numa única e só pa...</t>
        </is>
      </c>
      <c r="M45" s="2" t="inlineStr"/>
      <c r="N45" s="2"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Convenção.Tal importe é de natureza indenizatória e não se integra à remuneração para quaisquer efeitos, inclusive fiscais e previdenciários. Parágraf...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O45" s="2" t="inlineStr">
        <is>
          <t>Compensação de Jornada</t>
        </is>
      </c>
      <c r="P45" s="2" t="inlineStr">
        <is>
          <t>aviso
prévio indenizado, adotar-se-á a média das comissões nos doze meses anteriores ao mês da</t>
        </is>
      </c>
      <c r="Q45" s="2" t="inlineStr"/>
    </row>
    <row r="46">
      <c r="A46" s="2" t="n">
        <v>45</v>
      </c>
      <c r="B46" s="2" t="inlineStr">
        <is>
          <t>130-CCT-SINDICATO DOS EMPREGADOS NO COMERCIO DE PATO BRANCO - SINDICATO PATRONAL DO COMERCIO VAREJISTA DE PATO BRANCO-01-06-2025.pdf</t>
        </is>
      </c>
      <c r="C46" s="2" t="inlineStr">
        <is>
          <t>SINDICATO DOS EMPREGADOS NO COMERCIO DE PATO BRANCO</t>
        </is>
      </c>
      <c r="D46" s="2" t="inlineStr">
        <is>
          <t>SINDICATO PATRONAL DO COMERCIO VAREJISTA DE PATO BRANCO</t>
        </is>
      </c>
      <c r="E46" s="2" t="inlineStr">
        <is>
          <t>78.676.665/0001-07</t>
        </is>
      </c>
      <c r="F46" s="2" t="inlineStr">
        <is>
          <t>75.616.805/0001-63</t>
        </is>
      </c>
      <c r="G46" s="2" t="inlineStr">
        <is>
          <t>01º de junho de
2025</t>
        </is>
      </c>
      <c r="H46" s="2" t="inlineStr">
        <is>
          <t>31 de maio de 2026</t>
        </is>
      </c>
      <c r="I46" s="2" t="inlineStr">
        <is>
          <t>01º de junho de
2025</t>
        </is>
      </c>
      <c r="J46" s="2" t="inlineStr">
        <is>
          <t>6,10%</t>
        </is>
      </c>
      <c r="K46" s="2" t="inlineStr">
        <is>
          <t>A) Empacotador/pacoteiro,: R$ 1.769,00
B) Aos demais empregados,: R$ 2.087,00</t>
        </is>
      </c>
      <c r="L46" s="2" t="inlineStr">
        <is>
          <t>2,0% - CONTRIBUIÇÃO NEGOCIAL DOS EMPREGADOS Em conformidade com o disposto nos incisos III e IV, artigo 8.º da Constituição da República, tema 935 do STF, art. 8° da Convenção Internacional nº 95 da OIT (Organização Internacional do Trabalho) ratificada pelo Brasil, art. 611-A da CLT, Notas Técnicas 02/201...</t>
        </is>
      </c>
      <c r="M46" s="2" t="inlineStr"/>
      <c r="N46" s="2" t="inlineStr">
        <is>
          <t>**Auxílio Transporte / Vale-transporte**:
Auxílio Transporte
**Auxílio Creche**:
creches, hospitais entre outros) e cientificar seus empregados. Transferência setor/empresa
**Plano de Saúde / Assistência Médica**:
assistência médica, mensalidade sindical ou de associação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(setenta e cinco por cento) para os excedentes de 20 (vinte) horas mensais. Parágrafo único: A duração normal do trabalho poderá, eventualmente, ser acrescida de horas suplementares, em número não excedente de duas, mediante acordo escrito entre ...
**Descanso Semanal Remunerado**:
REPOUSO SEMANAL REMUNERADO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46" s="2" t="inlineStr">
        <is>
          <t>jornada de
trabalho inferior a 30 horas semanais, o valor poderá ser pago proporcional a sua carga horária. | BANCO DE HORAS</t>
        </is>
      </c>
      <c r="P46" s="2" t="inlineStr"/>
      <c r="Q46" s="2" t="inlineStr"/>
    </row>
    <row r="47">
      <c r="A47" s="2" t="n">
        <v>46</v>
      </c>
      <c r="B47" s="2" t="inlineStr">
        <is>
          <t>134-CCT-SIND DOS MOTORISTAS, CONDUT. DE VEIC. RODOV URBANOS E EM GERAL, TRAB.TRANSP. ROD. PBCO - FEDERACAO DOS TRABALHADORES EM TRANSP RODOV DO EST PR e Outr-01-01-2026.pdf</t>
        </is>
      </c>
      <c r="C47" s="2" t="inlineStr">
        <is>
          <t>FEDERACAO DOS TRABALHADORES EM TRANSP RODOV DO EST PR</t>
        </is>
      </c>
      <c r="D47" s="2" t="inlineStr"/>
      <c r="E47" s="2" t="inlineStr">
        <is>
          <t>81.455.248/0001-49</t>
        </is>
      </c>
      <c r="F47" s="2" t="inlineStr">
        <is>
          <t>80.251.929/0001-22</t>
        </is>
      </c>
      <c r="G47" s="2" t="inlineStr">
        <is>
          <t>01º de janeiro de
2026</t>
        </is>
      </c>
      <c r="H47" s="2" t="inlineStr">
        <is>
          <t>31 de dezembro de 2027</t>
        </is>
      </c>
      <c r="I47" s="2" t="inlineStr">
        <is>
          <t>01º de janeiro de
2026</t>
        </is>
      </c>
      <c r="J47" s="2" t="inlineStr">
        <is>
          <t>7,5%</t>
        </is>
      </c>
      <c r="K47" s="2" t="inlineStr"/>
      <c r="L47" s="2" t="inlineStr">
        <is>
          <t>CONTRIBUIÇÃO ASSISTENCIAL aqui tratada fica limitada a 1% (um porcento) mensal, calculado</t>
        </is>
      </c>
      <c r="M47" s="2" t="inlineStr"/>
      <c r="N47"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47" s="2" t="inlineStr"/>
      <c r="P47" s="2" t="inlineStr">
        <is>
          <t>aviso prévio indenizado, ficando o empregador obrigado a comprovar o pagamento.</t>
        </is>
      </c>
      <c r="Q47" s="2" t="inlineStr"/>
    </row>
    <row r="48">
      <c r="A48" s="2" t="n">
        <v>47</v>
      </c>
      <c r="B48" s="2" t="inlineStr">
        <is>
          <t>134-CCT-SIND DOS MOTORISTAS, CONDUT. DE VEIC. RODOV URBANOS E EM GERAL, TRAB.TRANSP. ROD. PBCO - FEDERACAO DOS TRABALHADORES EM TRANSP RODOV DO EST PR e Outr-01-02-2026.pdf</t>
        </is>
      </c>
      <c r="C48" s="2" t="inlineStr">
        <is>
          <t>FEDERACAO DOS TRABALHADORES EM TRANSP RODOV DO EST PR</t>
        </is>
      </c>
      <c r="D48" s="2" t="inlineStr"/>
      <c r="E48" s="2" t="inlineStr">
        <is>
          <t>81.455.248/0001-49</t>
        </is>
      </c>
      <c r="F48" s="2" t="inlineStr">
        <is>
          <t>80.060.635/0001-13</t>
        </is>
      </c>
      <c r="G48" s="2" t="inlineStr">
        <is>
          <t>01º de fevereiro de
2026</t>
        </is>
      </c>
      <c r="H48" s="2" t="inlineStr">
        <is>
          <t>31 de janeiro de 2028</t>
        </is>
      </c>
      <c r="I48" s="2" t="inlineStr">
        <is>
          <t>01º de fevereiro de
2026</t>
        </is>
      </c>
      <c r="J48" s="2" t="inlineStr">
        <is>
          <t>3,5%</t>
        </is>
      </c>
      <c r="K48" s="2" t="inlineStr"/>
      <c r="L48" s="2" t="inlineStr">
        <is>
          <t>CONTRIBUIÇÃO ASSISTENCIAL aqui tratada fica limitada a 1% (um porcento) mensal, calculado</t>
        </is>
      </c>
      <c r="M48" s="2" t="inlineStr"/>
      <c r="N48"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48" s="2" t="inlineStr">
        <is>
          <t>Compensação de Jornada</t>
        </is>
      </c>
      <c r="P48" s="2" t="inlineStr"/>
      <c r="Q48" s="2" t="inlineStr">
        <is>
          <t>penalidade no valor de 10% (dez por cento) do</t>
        </is>
      </c>
    </row>
    <row r="49">
      <c r="A49" s="2" t="n">
        <v>48</v>
      </c>
      <c r="B49" s="2" t="inlineStr">
        <is>
          <t>134-CCT-SIND DOS MOTORISTAS, CONDUT. DE VEIC. RODOV URBANOS E EM GERAL, TRAB.TRANSP. ROD. PBCO - FEDERACAO DOS TRABALHADORES EM TRANSP RODOV DO EST PR e Outr-01-03-2025.pdf</t>
        </is>
      </c>
      <c r="C49" s="2" t="inlineStr">
        <is>
          <t>FEDERACAO DOS TRABALHADORES EM TRANSP RODOV DO EST PR</t>
        </is>
      </c>
      <c r="D49" s="2" t="inlineStr"/>
      <c r="E49" s="2" t="inlineStr">
        <is>
          <t>81.455.248/0001-49</t>
        </is>
      </c>
      <c r="F49" s="2" t="inlineStr">
        <is>
          <t>10.612.279/0001-18</t>
        </is>
      </c>
      <c r="G49" s="2" t="inlineStr">
        <is>
          <t>01º de março de
2025</t>
        </is>
      </c>
      <c r="H49" s="2" t="inlineStr">
        <is>
          <t>28 de fevereiro de 2027</t>
        </is>
      </c>
      <c r="I49" s="2" t="inlineStr">
        <is>
          <t>01º de março de
2025</t>
        </is>
      </c>
      <c r="J49" s="2" t="inlineStr"/>
      <c r="K49" s="2" t="inlineStr"/>
      <c r="L49" s="2" t="inlineStr">
        <is>
          <t>CONTRIBUIÇÃO ASSISTENCIAL aqui tratada fica limitada a 1% (um porcento) mensal, calculado</t>
        </is>
      </c>
      <c r="M49" s="2" t="inlineStr"/>
      <c r="N49"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49" s="2" t="inlineStr">
        <is>
          <t>jornada de trabalho, dos empregados acolhidos pelo presente instrumento, será de 44 horas semanais, | banco de horas”, entre os empregados e a empresa interessados.</t>
        </is>
      </c>
      <c r="P49" s="2" t="inlineStr">
        <is>
          <t>aviso prévio indenizado, este ocorrerá pelos 30 (trinta) primeiros dias, sendo que o</t>
        </is>
      </c>
      <c r="Q49" s="2" t="inlineStr">
        <is>
          <t>penalidade no valor de 10% (dez por cento) do</t>
        </is>
      </c>
    </row>
    <row r="50">
      <c r="A50" s="2" t="n">
        <v>49</v>
      </c>
      <c r="B50" s="2" t="inlineStr">
        <is>
          <t>134-CCT-SIND DOS MOTORISTAS, CONDUT. DE VEIC. RODOV URBANOS E EM GERAL, TRAB.TRANSP. ROD. PBCO - FEDERACAO DOS TRABALHADORES EM TRANSP RODOV DO EST PR e Outr-01-06-2025.pdf</t>
        </is>
      </c>
      <c r="C50" s="2" t="inlineStr">
        <is>
          <t>FEDERACAO DOS TRABALHADORES EM TRANSP RODOV DO EST PR</t>
        </is>
      </c>
      <c r="D50" s="2" t="inlineStr"/>
      <c r="E50" s="2" t="inlineStr">
        <is>
          <t>81.455.248/0001-49</t>
        </is>
      </c>
      <c r="F50" s="2" t="inlineStr">
        <is>
          <t>84.782.846/0001-10</t>
        </is>
      </c>
      <c r="G50" s="2" t="inlineStr">
        <is>
          <t>01º de junho de
2025</t>
        </is>
      </c>
      <c r="H50" s="2" t="inlineStr">
        <is>
          <t>30 de maio de 2027</t>
        </is>
      </c>
      <c r="I50" s="2" t="inlineStr">
        <is>
          <t>01º de junho de
2025</t>
        </is>
      </c>
      <c r="J50" s="2" t="inlineStr">
        <is>
          <t>5,20%</t>
        </is>
      </c>
      <c r="K50" s="2" t="inlineStr"/>
      <c r="L50" s="2" t="inlineStr">
        <is>
          <t>CONTRIBUIÇÃO ASSISTENCIAL aqui tratada fica limitada a 1% (um porcento) mensal, calculado</t>
        </is>
      </c>
      <c r="M50" s="2" t="inlineStr"/>
      <c r="N50"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50" s="2" t="inlineStr">
        <is>
          <t>Compensação de Jornada</t>
        </is>
      </c>
      <c r="P50" s="2" t="inlineStr"/>
      <c r="Q50" s="2" t="inlineStr"/>
    </row>
    <row r="51">
      <c r="A51" s="2" t="n">
        <v>50</v>
      </c>
      <c r="B51" s="2" t="inlineStr">
        <is>
          <t>134-CCT-SIND DOS MOTORISTAS, CONDUT. DE VEIC. RODOV URBANOS E EM GERAL, TRAB.TRANSP. ROD. PBCO-01-01-2026.pdf</t>
        </is>
      </c>
      <c r="C51" s="2" t="inlineStr">
        <is>
          <t>FEDERACAO DOS TRABALHADORES EM TRANSP RODOV DO EST PR</t>
        </is>
      </c>
      <c r="D51" s="2" t="inlineStr"/>
      <c r="E51" s="2" t="inlineStr">
        <is>
          <t>81.455.248/0001-49</t>
        </is>
      </c>
      <c r="F51" s="2" t="inlineStr">
        <is>
          <t>80.251.929/0001-22</t>
        </is>
      </c>
      <c r="G51" s="2" t="inlineStr">
        <is>
          <t>01º de janeiro de
2026</t>
        </is>
      </c>
      <c r="H51" s="2" t="inlineStr">
        <is>
          <t>31 de dezembro de 2027</t>
        </is>
      </c>
      <c r="I51" s="2" t="inlineStr">
        <is>
          <t>01º de janeiro de
2026</t>
        </is>
      </c>
      <c r="J51" s="2" t="inlineStr">
        <is>
          <t>7,5%</t>
        </is>
      </c>
      <c r="K51" s="2" t="inlineStr"/>
      <c r="L51" s="2" t="inlineStr">
        <is>
          <t>CONTRIBUIÇÃO ASSISTENCIAL aqui tratada fica limitada a 1% (um porcento) mensal, calculado</t>
        </is>
      </c>
      <c r="M51" s="2" t="inlineStr"/>
      <c r="N51"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51" s="2" t="inlineStr"/>
      <c r="P51" s="2" t="inlineStr">
        <is>
          <t>aviso prévio indenizado, ficando o empregador obrigado a comprovar o pagamento.</t>
        </is>
      </c>
      <c r="Q51" s="2" t="inlineStr"/>
    </row>
    <row r="52">
      <c r="A52" s="2" t="n">
        <v>51</v>
      </c>
      <c r="B52" s="2" t="inlineStr">
        <is>
          <t>134-CCT-SIND DOS MOTORISTAS, CONDUT. DE VEIC. RODOV URBANOS E EM GERAL, TRAB.TRANSP. ROD. PBCO-01-02-2026.pdf</t>
        </is>
      </c>
      <c r="C52" s="2" t="inlineStr">
        <is>
          <t>FEDERACAO DOS TRABALHADORES EM TRANSP RODOV DO EST PR</t>
        </is>
      </c>
      <c r="D52" s="2" t="inlineStr"/>
      <c r="E52" s="2" t="inlineStr">
        <is>
          <t>81.455.248/0001-49</t>
        </is>
      </c>
      <c r="F52" s="2" t="inlineStr">
        <is>
          <t>80.060.635/0001-13</t>
        </is>
      </c>
      <c r="G52" s="2" t="inlineStr">
        <is>
          <t>01º de fevereiro de
2026</t>
        </is>
      </c>
      <c r="H52" s="2" t="inlineStr">
        <is>
          <t>31 de janeiro de 2028</t>
        </is>
      </c>
      <c r="I52" s="2" t="inlineStr">
        <is>
          <t>01º de fevereiro de
2026</t>
        </is>
      </c>
      <c r="J52" s="2" t="inlineStr">
        <is>
          <t>3,5%</t>
        </is>
      </c>
      <c r="K52" s="2" t="inlineStr"/>
      <c r="L52" s="2" t="inlineStr">
        <is>
          <t>CONTRIBUIÇÃO ASSISTENCIAL aqui tratada fica limitada a 1% (um porcento) mensal, calculado</t>
        </is>
      </c>
      <c r="M52" s="2" t="inlineStr"/>
      <c r="N52"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52" s="2" t="inlineStr">
        <is>
          <t>Compensação de Jornada</t>
        </is>
      </c>
      <c r="P52" s="2" t="inlineStr"/>
      <c r="Q52" s="2" t="inlineStr">
        <is>
          <t>penalidade no valor de 10% (dez por cento) do</t>
        </is>
      </c>
    </row>
    <row r="53">
      <c r="A53" s="2" t="n">
        <v>52</v>
      </c>
      <c r="B53" s="2" t="inlineStr">
        <is>
          <t>134-CCT-SIND DOS MOTORISTAS, CONDUT. DE VEIC. RODOV URBANOS E EM GERAL, TRAB.TRANSP. ROD. PBCO-01-03-2025.pdf</t>
        </is>
      </c>
      <c r="C53" s="2" t="inlineStr">
        <is>
          <t>FEDERACAO DOS TRABALHADORES EM TRANSP RODOV DO EST PR</t>
        </is>
      </c>
      <c r="D53" s="2" t="inlineStr"/>
      <c r="E53" s="2" t="inlineStr">
        <is>
          <t>81.455.248/0001-49</t>
        </is>
      </c>
      <c r="F53" s="2" t="inlineStr">
        <is>
          <t>10.612.279/0001-18</t>
        </is>
      </c>
      <c r="G53" s="2" t="inlineStr">
        <is>
          <t>01º de março de
2025</t>
        </is>
      </c>
      <c r="H53" s="2" t="inlineStr">
        <is>
          <t>28 de fevereiro de 2027</t>
        </is>
      </c>
      <c r="I53" s="2" t="inlineStr">
        <is>
          <t>01º de março de
2025</t>
        </is>
      </c>
      <c r="J53" s="2" t="inlineStr"/>
      <c r="K53" s="2" t="inlineStr"/>
      <c r="L53" s="2" t="inlineStr">
        <is>
          <t>CONTRIBUIÇÃO ASSISTENCIAL aqui tratada fica limitada a 1% (um porcento) mensal, calculado</t>
        </is>
      </c>
      <c r="M53" s="2" t="inlineStr"/>
      <c r="N53"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53" s="2" t="inlineStr">
        <is>
          <t>jornada de trabalho, dos empregados acolhidos pelo presente instrumento, será de 44 horas semanais, | banco de horas”, entre os empregados e a empresa interessados.</t>
        </is>
      </c>
      <c r="P53" s="2" t="inlineStr">
        <is>
          <t>aviso prévio indenizado, este ocorrerá pelos 30 (trinta) primeiros dias, sendo que o</t>
        </is>
      </c>
      <c r="Q53" s="2" t="inlineStr">
        <is>
          <t>penalidade no valor de 10% (dez por cento) do</t>
        </is>
      </c>
    </row>
    <row r="54">
      <c r="A54" s="2" t="n">
        <v>53</v>
      </c>
      <c r="B54" s="2" t="inlineStr">
        <is>
          <t>134-CCT-SIND DOS MOTORISTAS, CONDUT. DE VEIC. RODOV URBANOS E EM GERAL, TRAB.TRANSP. ROD. PBCO-01-05-2025.pdf</t>
        </is>
      </c>
      <c r="C54" s="2" t="inlineStr">
        <is>
          <t>SIND DOS MOTORISTAS, CONDUT. DE VEIC. RODOV URBANOS E EM GERAL, TRAB.TRANSP. ROD. PBCO</t>
        </is>
      </c>
      <c r="D54" s="2" t="inlineStr">
        <is>
          <t>LUNARDI; SIND DOS TRAB EM TRANSP RODOVIARIOS DE FRANC BELTRAO</t>
        </is>
      </c>
      <c r="E54" s="2" t="inlineStr">
        <is>
          <t>80.869.894/0001-90</t>
        </is>
      </c>
      <c r="F54" s="2" t="inlineStr">
        <is>
          <t>78.686.888/0001-55</t>
        </is>
      </c>
      <c r="G54" s="2" t="inlineStr">
        <is>
          <t>01º de maio de 2025</t>
        </is>
      </c>
      <c r="H54" s="2" t="inlineStr">
        <is>
          <t>30 de abril de 2027</t>
        </is>
      </c>
      <c r="I54" s="2" t="inlineStr">
        <is>
          <t>01º de maio de 2025</t>
        </is>
      </c>
      <c r="J54" s="2" t="inlineStr">
        <is>
          <t>6,32%</t>
        </is>
      </c>
      <c r="K54" s="2" t="inlineStr">
        <is>
          <t>A) Motoristas de Jamanta/Carreta e Semi-Reboque: R$ 3.663,00
B) Motoristas de Caminhão Truck: R$ 3.073,00
C) Motoristas de Caminhão Toco: R$ 2.754,00
D) Motoristas Manobrista: R$ 2.754,00
E) Motoristas de Veículos Leves de Pequeno Porte (Dentre os quais Kombis, Saveiros, Pampa, Fiorino e Semelhantes e de Médio porte Mercedes Benz-MB 608, 708, 908, Ford-4000 e Semelhantes (outras) Operadores de Empilhadeiras: R$ 2.571,00
F) Motociclistas: R$ 2.065,00
G) Ajudantes de Motorista: R$ 2.065,00</t>
        </is>
      </c>
      <c r="L54" s="2" t="inlineStr"/>
      <c r="M54" s="2" t="inlineStr"/>
      <c r="N54" s="2" t="inlineStr">
        <is>
          <t>**Auxílio Transporte / Vale-transporte**:
Auxílio Transporte
**Refeição / Alimentação (VA/VR)**:
VALE-ALIMENTAÇÃO VIGÊNCIA DA
**Auxílio Creche**:
CRECHE R$ 600,00 1 Matrícula do(a) filho(a) em creche particular. CASAMENTO R$ 900,00 1 Em caso de casamento do titular. APOSENTADORIA R$ 2.000,00 1 Aposentadoria do titular. Aquisição de material escolar de filho(s) REEMBOLSO MATERIAL Até R$ 500,00 1 matriculado(s) em escola particular no ensino ESCOLAR fundamental I (do 1º ao 5º ano). ASSISTÊNCIA Disponibiliza apoio nutricional ao titular por - ...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**Bolsa / Estudo**:
estudantes)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APOSENTADORIA R$ 2.000,00 1 Aposentadoria do titular. Aquisição de material escolar de filho(s) REEMBOLSO MATERIAL Até R$...
**Diárias / Ressarcimento**:
diárias de Em caso de hospitalização causada HOSPITALAR POR exclusivamente por acidente pessoal coberto, ACIDENTE - DIHA R$ 200,00 cada exceto se decorrente de riscos excluídos. 4 SORTEIOS MENSAIS R$ 500,00 Valores líquidos de Imposto de Renda. (SÉRIE FECHADA) ASSISTÊNCIAS PARA AS EMPRESAS BENEFÍCIOS VALOR PARCELAS DESCRIÇÃO Até Pagamento de rescisão de empregado com no REEMBOLSO DE 1 mínimo sete ...
**Adicional Noturno**:
Adicional Noturno
**Horas Extras**:
hora extra do comissionista será encontrado multiplicando-se o número médio mensal das efetivamente prestadas, pelo valor médio dos últimos 06 (seis) meses, já incluído o percentual correspondente, para efeito de pagamento de Férias, 13º salário e verbas indenizatórias corrigidas. Descontos Salariais
**Descanso Semanal Remunerado**:
REPOUSO SEMANAL REMUNERADO DOS COMISSIONISTAS Fica vedada a inclusão da parcela correspondente ao repouso semanal remunerado, que trata a lei n. 605/49, nos percentuais de comissão, ficando ajustado que o cálculo de dito repouso será feito dividindo-se o valor das comissões pelos dias efetivamente trabalhados, multiplicando- se pelo número de domingos e feriados ocorridos no mês correspondente.
**Abono de Faltas**:
abono de faltas ao trabalho nos dias respectivos, com a devida notificação ao empregador com antecedência de 7 (sete) dias e posterior comprovação. Art. 473 CLT. Parágrafo Segundo - O período das férias do empregado estudante coincidirá, preferencialmente, com o de suas férias escolares.
**FGTS**:
FGTS, contendo a identificação da empresa e do empregado.</t>
        </is>
      </c>
      <c r="O54" s="2" t="inlineStr">
        <is>
          <t>BANCO
DE HORAS</t>
        </is>
      </c>
      <c r="P54" s="2" t="inlineStr"/>
      <c r="Q54" s="2" t="inlineStr"/>
    </row>
    <row r="55">
      <c r="A55" s="2" t="n">
        <v>54</v>
      </c>
      <c r="B55" s="2" t="inlineStr">
        <is>
          <t>134-CCT-SIND DOS MOTORISTAS, CONDUT. DE VEIC. RODOV URBANOS E EM GERAL, TRAB.TRANSP. ROD. PBCO-01-05-2026.pdf</t>
        </is>
      </c>
      <c r="C55" s="2" t="inlineStr">
        <is>
          <t>FEDERACAO DOS TRABALHADORES EM TRANSP RODOV DO EST PR</t>
        </is>
      </c>
      <c r="D55" s="2" t="inlineStr"/>
      <c r="E55" s="2" t="inlineStr">
        <is>
          <t>81.455.248/0001-49</t>
        </is>
      </c>
      <c r="F55" s="2" t="inlineStr">
        <is>
          <t>79.147.450/0001-61</t>
        </is>
      </c>
      <c r="G55" s="2" t="inlineStr">
        <is>
          <t>01º de maio de 2026</t>
        </is>
      </c>
      <c r="H55" s="2" t="inlineStr">
        <is>
          <t>30 de abril de 2028</t>
        </is>
      </c>
      <c r="I55" s="2" t="inlineStr">
        <is>
          <t>01º de maio de 2026</t>
        </is>
      </c>
      <c r="J55" s="2" t="inlineStr">
        <is>
          <t>5,11%</t>
        </is>
      </c>
      <c r="K55" s="2" t="inlineStr"/>
      <c r="L55" s="2" t="inlineStr"/>
      <c r="M55" s="2" t="inlineStr"/>
      <c r="N55" s="2" t="inlineStr">
        <is>
          <t>**Refeição / Alimentação (VA/VR)**:
Vale Alimentação extra, equivalente ao valor bruto das diferenças salariais relativas a maio e junho, a ser concedido juntamente com o vale alimentação de julho/26, sem acréscimo ou multa quaisquer. Pagamento de Salário – Formas e Prazos
**Plano de Saúde / Assistência Médica**:
assistência médica e/ou odontológica, convênio com farmácia, óticas, supermercados e congêneres, dentre outros, mensalidades de seguros de vida, além de empréstimos pessoais, feitos perante o sindicato profissional convenente ou empresa, desde que autorizado, inclusive associação de funcionários, podendo o empregado, a qualquer tempo, revogar a autorização de desconto, desde que seus débitos estej...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Adicional de Tempo de Serviço</t>
        </is>
      </c>
      <c r="O55" s="2" t="inlineStr">
        <is>
          <t>jornada de trabalho dos empregados fica fixada em 44 horas semanais, independente dos turnos de | banco de horas” anual, mediante negociação com a entidade sindical profissional. Os empregadores,</t>
        </is>
      </c>
      <c r="P55" s="2" t="inlineStr"/>
      <c r="Q55" s="2" t="inlineStr"/>
    </row>
    <row r="56">
      <c r="A56" s="2" t="n">
        <v>55</v>
      </c>
      <c r="B56" s="2" t="inlineStr">
        <is>
          <t>134-CCT-SIND DOS MOTORISTAS, CONDUT. DE VEIC. RODOV URBANOS E EM GERAL, TRAB.TRANSP. ROD. PBCO-01-06-2025.pdf</t>
        </is>
      </c>
      <c r="C56" s="2" t="inlineStr">
        <is>
          <t>FEDERACAO DOS TRABALHADORES EM TRANSP RODOV DO EST PR</t>
        </is>
      </c>
      <c r="D56" s="2" t="inlineStr"/>
      <c r="E56" s="2" t="inlineStr">
        <is>
          <t>81.455.248/0001-49</t>
        </is>
      </c>
      <c r="F56" s="2" t="inlineStr">
        <is>
          <t>84.782.846/0001-10</t>
        </is>
      </c>
      <c r="G56" s="2" t="inlineStr">
        <is>
          <t>01º de junho de
2025</t>
        </is>
      </c>
      <c r="H56" s="2" t="inlineStr">
        <is>
          <t>30 de maio de 2027</t>
        </is>
      </c>
      <c r="I56" s="2" t="inlineStr">
        <is>
          <t>01º de junho de
2025</t>
        </is>
      </c>
      <c r="J56" s="2" t="inlineStr">
        <is>
          <t>5,20%</t>
        </is>
      </c>
      <c r="K56" s="2" t="inlineStr"/>
      <c r="L56" s="2" t="inlineStr">
        <is>
          <t>CONTRIBUIÇÃO ASSISTENCIAL aqui tratada fica limitada a 1% (um porcento) mensal, calculado</t>
        </is>
      </c>
      <c r="M56" s="2" t="inlineStr"/>
      <c r="N56"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56" s="2" t="inlineStr">
        <is>
          <t>Compensação de Jornada</t>
        </is>
      </c>
      <c r="P56" s="2" t="inlineStr"/>
      <c r="Q56" s="2" t="inlineStr"/>
    </row>
    <row r="57">
      <c r="A57" s="2" t="n">
        <v>56</v>
      </c>
      <c r="B57" s="2" t="inlineStr">
        <is>
          <t>134-CCT-SIND DOS MOTORISTAS, CONDUT. DE VEIC. RODOV URBANOS E EM GERAL, TRAB.TRANSP. ROD. PBCO-01-07-2024.pdf</t>
        </is>
      </c>
      <c r="C57" s="2" t="inlineStr">
        <is>
          <t>SINDICATO DOS MOTORISTAS, CONDUTORES DE VEICULOS RODOVIARIOS URBANOS E EM GERAL, TRABALHADORES EM TRANSPORTES RODOVIARIOS DE DOIS VIZINHOS - SINTRODOV</t>
        </is>
      </c>
      <c r="D57" s="2" t="inlineStr">
        <is>
          <t>GANASSINI; SIND DOS MOTORISTAS, CONDUT. DE VEIC. RODOV URBANOS E EM GERAL, TRAB.TRANSP. ROD. PBCO</t>
        </is>
      </c>
      <c r="E57" s="2" t="inlineStr">
        <is>
          <t>78.687.431/0001-65</t>
        </is>
      </c>
      <c r="F57" s="2" t="inlineStr">
        <is>
          <t>80.869.894/0001-90</t>
        </is>
      </c>
      <c r="G57" s="2" t="inlineStr">
        <is>
          <t>01º de julho de 2024</t>
        </is>
      </c>
      <c r="H57" s="2" t="inlineStr">
        <is>
          <t>30 de junho de 2026</t>
        </is>
      </c>
      <c r="I57" s="2" t="inlineStr">
        <is>
          <t>01º de julho de 2024</t>
        </is>
      </c>
      <c r="J57" s="2" t="inlineStr">
        <is>
          <t>4,50%</t>
        </is>
      </c>
      <c r="K57" s="2" t="inlineStr"/>
      <c r="L57"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57" s="2" t="inlineStr"/>
      <c r="N57"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57" s="2" t="inlineStr">
        <is>
          <t>compensação de
jornada.</t>
        </is>
      </c>
      <c r="P57" s="2" t="inlineStr"/>
      <c r="Q57" s="2" t="inlineStr"/>
    </row>
    <row r="58">
      <c r="A58" s="2" t="n">
        <v>57</v>
      </c>
      <c r="B58" s="2" t="inlineStr">
        <is>
          <t>134-CCT-SIND DOS MOTORISTAS, CONDUT. DE VEIC. RODOV URBANOS E EM GERAL, TRAB.TRANSP. ROD. PBCO-01-07-2025.pdf</t>
        </is>
      </c>
      <c r="C58" s="2" t="inlineStr">
        <is>
          <t>SIND DOS MOTORISTAS, CONDUT. DE VEIC. RODOV URBANOS E EM GERAL, TRAB.TRANSP. ROD. PBCO</t>
        </is>
      </c>
      <c r="D58" s="2" t="inlineStr">
        <is>
          <t>LUNARDI; SIND DOS TRAB EM TRANSP RODOVIARIOS DE FRANC BELTRAO</t>
        </is>
      </c>
      <c r="E58" s="2" t="inlineStr">
        <is>
          <t>80.869.894/0001-90</t>
        </is>
      </c>
      <c r="F58" s="2" t="inlineStr">
        <is>
          <t>78.686.888/0001-55</t>
        </is>
      </c>
      <c r="G58" s="2" t="inlineStr">
        <is>
          <t>01º de julho de 2025</t>
        </is>
      </c>
      <c r="H58" s="2" t="inlineStr">
        <is>
          <t>30 de junho de 2027</t>
        </is>
      </c>
      <c r="I58" s="2" t="inlineStr">
        <is>
          <t>01º de julho de 2025</t>
        </is>
      </c>
      <c r="J58" s="2" t="inlineStr"/>
      <c r="K58" s="2" t="inlineStr"/>
      <c r="L58" s="2" t="inlineStr"/>
      <c r="M58" s="2" t="inlineStr"/>
      <c r="N58" s="2"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58" s="2" t="inlineStr">
        <is>
          <t>compensação de jornada.</t>
        </is>
      </c>
      <c r="P58" s="2" t="inlineStr"/>
      <c r="Q58" s="2" t="inlineStr"/>
    </row>
    <row r="59">
      <c r="A59" s="2" t="n">
        <v>58</v>
      </c>
      <c r="B59" s="2" t="inlineStr">
        <is>
          <t>134-CCT-SIND DOS MOTORISTAS, CONDUT. DE VEIC. RODOV URBANOS E EM GERAL, TRAB.TRANSP. ROD. PBCO-01-08-2025.pdf</t>
        </is>
      </c>
      <c r="C59" s="2" t="inlineStr">
        <is>
          <t>FEDERACAO DOS TRABALHADORES EM TRANSP RODOV DO EST PR</t>
        </is>
      </c>
      <c r="D59" s="2" t="inlineStr"/>
      <c r="E59" s="2" t="inlineStr">
        <is>
          <t>81.455.248/0001-49</t>
        </is>
      </c>
      <c r="F59" s="2" t="inlineStr">
        <is>
          <t>84.782.846/0001-10</t>
        </is>
      </c>
      <c r="G59" s="2" t="inlineStr">
        <is>
          <t>01º de agosto de
2025</t>
        </is>
      </c>
      <c r="H59" s="2" t="inlineStr">
        <is>
          <t>31 de julho de 2027</t>
        </is>
      </c>
      <c r="I59" s="2" t="inlineStr">
        <is>
          <t>01º de agosto de
2025</t>
        </is>
      </c>
      <c r="J59" s="2" t="inlineStr">
        <is>
          <t>5,13%</t>
        </is>
      </c>
      <c r="K59" s="2" t="inlineStr"/>
      <c r="L59" s="2"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59" s="2" t="inlineStr"/>
      <c r="N59" s="2"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59" s="2" t="inlineStr">
        <is>
          <t>banco de horas.</t>
        </is>
      </c>
      <c r="P59" s="2" t="inlineStr"/>
      <c r="Q59" s="2" t="inlineStr"/>
    </row>
    <row r="60">
      <c r="A60" s="2" t="n">
        <v>59</v>
      </c>
      <c r="B60" s="2" t="inlineStr">
        <is>
          <t>134-CCT-SIND DOS MOTORISTAS, CONDUT. DE VEIC. RODOV URBANOS E EM GERAL, TRAB.TRANSP. ROD. PBCO-01-09-2025.pdf</t>
        </is>
      </c>
      <c r="C60" s="2" t="inlineStr">
        <is>
          <t>FEDERACAO DOS TRABALHADORES EM TRANSP RODOV DO EST PR</t>
        </is>
      </c>
      <c r="D60" s="2" t="inlineStr"/>
      <c r="E60" s="2" t="inlineStr">
        <is>
          <t>81.455.248/0001-49</t>
        </is>
      </c>
      <c r="F60" s="2" t="inlineStr">
        <is>
          <t>76.602.366/0001-00</t>
        </is>
      </c>
      <c r="G60" s="2" t="inlineStr">
        <is>
          <t>01º de setembro de
2025</t>
        </is>
      </c>
      <c r="H60" s="2" t="inlineStr">
        <is>
          <t>31 de agosto de 2027</t>
        </is>
      </c>
      <c r="I60" s="2" t="inlineStr">
        <is>
          <t>01º de setembro de
2025</t>
        </is>
      </c>
      <c r="J60" s="2" t="inlineStr">
        <is>
          <t>5,05%</t>
        </is>
      </c>
      <c r="K60" s="2" t="inlineStr"/>
      <c r="L60" s="2" t="inlineStr">
        <is>
          <t>CONTRIBUIÇÃO ASSISTENCIAL aqui tratada fica limitada a 1% (um porcento) mensal, calculado</t>
        </is>
      </c>
      <c r="M60" s="2" t="inlineStr"/>
      <c r="N60" s="2"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O60" s="2" t="inlineStr">
        <is>
          <t>Compensação de Jornada</t>
        </is>
      </c>
      <c r="P60" s="2" t="inlineStr"/>
      <c r="Q60" s="2" t="inlineStr">
        <is>
          <t>penalidades cabíveis pela legislação vigente, conforme a resolução ANP - 26/15.</t>
        </is>
      </c>
    </row>
    <row r="61">
      <c r="A61" s="2" t="n">
        <v>60</v>
      </c>
      <c r="B61" s="2" t="inlineStr">
        <is>
          <t>134-CCT-SIND DOS MOTORISTAS, CONDUT. DE VEIC. RODOV URBANOS E EM GERAL, TRAB.TRANSP. ROD. PBCO-01-10-2025.pdf</t>
        </is>
      </c>
      <c r="C61" s="2" t="inlineStr">
        <is>
          <t>FEDERACAO DOS TRABALHADORES EM TRANSP RODOV DO EST PR</t>
        </is>
      </c>
      <c r="D61" s="2" t="inlineStr"/>
      <c r="E61" s="2" t="inlineStr">
        <is>
          <t>81.455.248/0001-49</t>
        </is>
      </c>
      <c r="F61" s="2" t="inlineStr">
        <is>
          <t>81.878.845/0001-86</t>
        </is>
      </c>
      <c r="G61" s="2" t="inlineStr">
        <is>
          <t>01º de outubro de
2025</t>
        </is>
      </c>
      <c r="H61" s="2" t="inlineStr">
        <is>
          <t>30 de setembro de 2026</t>
        </is>
      </c>
      <c r="I61" s="2" t="inlineStr">
        <is>
          <t>01º de outubro de
2025</t>
        </is>
      </c>
      <c r="J61" s="2" t="inlineStr">
        <is>
          <t>5,76%</t>
        </is>
      </c>
      <c r="K61" s="2" t="inlineStr"/>
      <c r="L61" s="2" t="inlineStr">
        <is>
          <t>CONTRIBUIÇÃO ASSISTENCIAL aqui tratada fica limitada a 1% (um porcento) mensal, calculado</t>
        </is>
      </c>
      <c r="M61" s="2" t="inlineStr"/>
      <c r="N61"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61" s="2" t="inlineStr">
        <is>
          <t>jornada de trabalho 12x36 horas fica | banco de horas, através de tíquete, cartão ou pecúnia (dinheiro). As Entidades que concedem vale</t>
        </is>
      </c>
      <c r="P61" s="2" t="inlineStr"/>
      <c r="Q61" s="2" t="inlineStr"/>
    </row>
    <row r="62">
      <c r="A62" s="2" t="n">
        <v>61</v>
      </c>
      <c r="B62" s="2" t="inlineStr">
        <is>
          <t>134-CCT-SIND DOS MOTORISTAS, CONDUT. DE VEIC. RODOV URBANOS E EM GERAL, TRAB.TRANSP. ROD. PBCO-01-12-2024.pdf</t>
        </is>
      </c>
      <c r="C62" s="2" t="inlineStr">
        <is>
          <t>SIND DOS MOTORISTAS, CONDUT. DE VEIC. RODOV URBANOS E EM GERAL, TRAB.TRANSP. ROD. PBCO</t>
        </is>
      </c>
      <c r="D62" s="2" t="inlineStr">
        <is>
          <t>SINDICATO PATRONAL DO COMERCIO VAREJISTA DE PATO BRANCO</t>
        </is>
      </c>
      <c r="E62" s="2" t="inlineStr">
        <is>
          <t>80.869.894/0001-90</t>
        </is>
      </c>
      <c r="F62" s="2" t="inlineStr">
        <is>
          <t>75.616.805/0001-63</t>
        </is>
      </c>
      <c r="G62" s="2" t="inlineStr">
        <is>
          <t>01º de dezembro de
2024</t>
        </is>
      </c>
      <c r="H62" s="2" t="inlineStr">
        <is>
          <t>30 de novembro de 2026</t>
        </is>
      </c>
      <c r="I62" s="2" t="inlineStr">
        <is>
          <t>01º de dezembro de
2024</t>
        </is>
      </c>
      <c r="J62" s="2" t="inlineStr"/>
      <c r="K62" s="2" t="inlineStr"/>
      <c r="L62" s="2" t="inlineStr"/>
      <c r="M62" s="2" t="inlineStr"/>
      <c r="N62" s="2" t="inlineStr">
        <is>
          <t>Não especificado</t>
        </is>
      </c>
      <c r="O62" s="2" t="inlineStr"/>
      <c r="P62" s="2" t="inlineStr"/>
      <c r="Q62" s="2" t="inlineStr"/>
    </row>
    <row r="63">
      <c r="A63" s="2" t="n">
        <v>62</v>
      </c>
      <c r="B63" s="2" t="inlineStr">
        <is>
          <t>134-TA-CCT-SIND DOS MOTORISTAS, CONDUT. DE VEIC. RODOV URBANOS E EM GERAL, TRAB.TRANSP. ROD. PBCO-01-05-2025.pdf</t>
        </is>
      </c>
      <c r="C63" s="2" t="inlineStr">
        <is>
          <t>FEDERACAO DOS TRABALHADORES EM TRANSP RODOV DO EST PR</t>
        </is>
      </c>
      <c r="D63" s="2" t="inlineStr"/>
      <c r="E63" s="2" t="inlineStr">
        <is>
          <t>81.455.248/0001-49</t>
        </is>
      </c>
      <c r="F63" s="2" t="inlineStr">
        <is>
          <t>80.891.708/0001-19</t>
        </is>
      </c>
      <c r="G63" s="2" t="inlineStr">
        <is>
          <t>01º
de maio de 2025</t>
        </is>
      </c>
      <c r="H63" s="2" t="inlineStr">
        <is>
          <t>31 de março de 2027</t>
        </is>
      </c>
      <c r="I63" s="2" t="inlineStr">
        <is>
          <t>01º
de maio de 2025</t>
        </is>
      </c>
      <c r="J63" s="2" t="inlineStr"/>
      <c r="K63" s="2" t="inlineStr"/>
      <c r="L63" s="2" t="inlineStr"/>
      <c r="M63" s="2" t="inlineStr"/>
      <c r="N63" s="2"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O63" s="2" t="inlineStr"/>
      <c r="P63" s="2" t="inlineStr"/>
      <c r="Q63" s="2" t="inlineStr"/>
    </row>
    <row r="64">
      <c r="A64" s="2" t="n">
        <v>63</v>
      </c>
      <c r="B64" s="2" t="inlineStr">
        <is>
          <t>138-CCT-SINDICATO DOS EMPREGADOS NO COMERCIO HOTELEIRO E SIMILARES E EM TURISMO E HOSPITALIDADE DE CASCAVEL - SINCAP SINDICATO DOS SALOES DE CAB INS BEL E SIM EST PR-01-05-2025.pdf</t>
        </is>
      </c>
      <c r="C64" s="2" t="inlineStr">
        <is>
          <t>SINDICATO DOS EMPREGADOS NO COMERCIO HOTELEIRO E SIMILARES E EM TURISMO E HOSPITALIDADE DE CASCAVEL</t>
        </is>
      </c>
      <c r="D64" s="2" t="inlineStr">
        <is>
          <t>FEDERACAO DOS EMPR EM TURISMO E HOSPITALIDADE DO EST PR</t>
        </is>
      </c>
      <c r="E64" s="2" t="inlineStr">
        <is>
          <t>78.680.568/0001-98</t>
        </is>
      </c>
      <c r="F64" s="2" t="inlineStr">
        <is>
          <t>80.043.011/0001-98</t>
        </is>
      </c>
      <c r="G64" s="2" t="inlineStr">
        <is>
          <t>01º de maio de 2025</t>
        </is>
      </c>
      <c r="H64" s="2" t="inlineStr">
        <is>
          <t>30 de abril de 2027</t>
        </is>
      </c>
      <c r="I64" s="2" t="inlineStr">
        <is>
          <t>01º de maio de 2025</t>
        </is>
      </c>
      <c r="J64" s="2" t="inlineStr">
        <is>
          <t>6,5%</t>
        </is>
      </c>
      <c r="K64" s="2"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L64" s="2"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M64" s="2" t="inlineStr"/>
      <c r="N64" s="2"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O64" s="2" t="inlineStr"/>
      <c r="P64" s="2"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Q64" s="2" t="inlineStr"/>
    </row>
    <row r="65">
      <c r="A65" s="2" t="n">
        <v>64</v>
      </c>
      <c r="B65" s="2" t="inlineStr">
        <is>
          <t>138-CCT-SINDICATO DOS EMPREGADOS NO COMERCIO HOTELEIRO E SIMILARES E EM TURISMO E HOSPITALIDADE DE CASCAVEL - SINDICATO DOS EMPREGADOS NO COMERCIO HOTELEIRO, MEIOS DE HOS-01-05-2026.pdf</t>
        </is>
      </c>
      <c r="C65" s="2" t="inlineStr">
        <is>
          <t>SINDICATO DOS EMPREGADOS NO COMERCIO HOTELEIRO, MEIOS DE HOSPEDAGEM, RESTAURANTES, GASTRONOMIA, ALIMENTACAO PREPARADA, CONDOMINIOS, IMOBILIARIAS</t>
        </is>
      </c>
      <c r="D65" s="2" t="inlineStr">
        <is>
          <t>FEDERACAO DOS EMPR EM TURISMO E HOSPITALIDADE DO EST PR</t>
        </is>
      </c>
      <c r="E65" s="2" t="inlineStr">
        <is>
          <t>78.680.568/0001-98</t>
        </is>
      </c>
      <c r="F65" s="2" t="inlineStr">
        <is>
          <t>80.043.011/0001-98</t>
        </is>
      </c>
      <c r="G65" s="2" t="inlineStr">
        <is>
          <t>01º de maio de 2026</t>
        </is>
      </c>
      <c r="H65" s="2" t="inlineStr">
        <is>
          <t>30 de abril de 2027</t>
        </is>
      </c>
      <c r="I65" s="2" t="inlineStr">
        <is>
          <t>01º de maio de 2026</t>
        </is>
      </c>
      <c r="J65" s="2" t="inlineStr">
        <is>
          <t>4,33%</t>
        </is>
      </c>
      <c r="K65" s="2" t="inlineStr"/>
      <c r="L65"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5" s="2"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N65" s="2"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O65" s="2" t="inlineStr"/>
      <c r="P65" s="2" t="inlineStr"/>
      <c r="Q65" s="2" t="inlineStr"/>
    </row>
    <row r="66">
      <c r="A66" s="2" t="n">
        <v>65</v>
      </c>
      <c r="B66" s="2" t="inlineStr">
        <is>
          <t>138-CCT-SINDICATO DOS EMPREGADOS NO COMERCIO HOTELEIRO E SIMILARES E EM TURISMO E HOSPITALIDADE DE CASCAVEL - SINDICATO DOS EMPREGADOS NO COMERCIO HOTELEIRO, MEIOS DE HOS-01-06-2025.pdf</t>
        </is>
      </c>
      <c r="C66" s="2" t="inlineStr">
        <is>
          <t>SINDICATO DOS EMPREGADOS NO COMERCIO HOTELEIRO, MEIOS DE HOSPEDAGEM, RESTAURANTES, GASTRONOMIA, ALIMENTACAO PREPARADA, CONDOMINIOS, IMOBILIARIAS</t>
        </is>
      </c>
      <c r="D66" s="2" t="inlineStr">
        <is>
          <t>FEDERACAO DOS EMPR EM TURISMO E HOSPITALIDADE DO EST PR</t>
        </is>
      </c>
      <c r="E66" s="2" t="inlineStr">
        <is>
          <t>78.680.568/0001-98</t>
        </is>
      </c>
      <c r="F66" s="2" t="inlineStr">
        <is>
          <t>80.043.011/0001-98</t>
        </is>
      </c>
      <c r="G66" s="2" t="inlineStr">
        <is>
          <t>01º de junho de 2025</t>
        </is>
      </c>
      <c r="H66" s="2" t="inlineStr">
        <is>
          <t>31 de maio de 2026</t>
        </is>
      </c>
      <c r="I66" s="2" t="inlineStr">
        <is>
          <t>01º de junho de 2025</t>
        </is>
      </c>
      <c r="J66" s="2" t="inlineStr">
        <is>
          <t>7,5%</t>
        </is>
      </c>
      <c r="K66" s="2" t="inlineStr">
        <is>
          <t>A) Para as funções de CONTÍNUOS E OFFICE-BOYS,: R$ .
B) Para as funções de VENDEDORES E COMISSIONADOS, assegura-se uma garantia salarial mínima de: R$ .
C) Para as funções em COPA, COZINHA, LIMPEZA, VIGIA, GUARDA e PORTEIROS,: R$ .
D) Aos DEMAIS EMPREGADOS,: R$ .</t>
        </is>
      </c>
      <c r="L66" s="2" t="inlineStr">
        <is>
          <t>1,5% - CONTRIBUIÇÃO NEGOCIAL PELOS EMPREGADOS Amparados pelos Artigos 513 “e” da CLT, Art. 7º, XXVI da Constituição Federal que assegura que as convenções e os acordos coletivos possuem efeito normativo semelhante à lei, e: a) Considerando que o Supremo Tribunal Federal (STF) julgou constitucional a instit...</t>
        </is>
      </c>
      <c r="M66" s="2" t="inlineStr"/>
      <c r="N66" s="2" t="inlineStr">
        <is>
          <t>**Auxílio Transporte / Vale-transporte**:
Auxílio Transporte
**Refeição / Alimentação (VA/VR)**:
VALE REFEIÇÃO Os empregadores fornecerão Vale Refeição ou Vale Alimentação como benefício aos seus empregados, mensal e gratuitamente, com valor mínimo de R$ 30,00 (Trinta reais) por dia. O valor pago referente a este benefício não integrará a remuneração do trabalhador para qualquer efeito legal. PARÁGRAFO ÚNICO: Aos empregadores que já fornecem este benefício, recomenda-se que corrijam o seu val...
**Auxílio Creche**:
Auxílio Creche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**Cesta Básica**:
CESTA BÁSICA R$ 500,00 1 superior a 60 dias. COMPLEMENTO DE REMUNERAÇÃO Afastamento por doença por período R$ 1.000,00 1 POR AFASTAMENTO superior a 90 dias. Matrícula do(a) filho(a) em creche REEMBOLSO CRECHE R$ 600,00 1 particular. CASAMENTO R$ 900,00 1 Em caso de casamento do titular. APOSENTADORIA R$ 2.000,00 1 Aposentadoria do titular. Aquisição de material escolar de filho(s) matriculado(s) e...
**Diárias / Ressarcimento**:
diárias de DIÁRIA DE INTERNAÇÃO exclusivamente por acidente pessoal HOSPITALAR POR ACIDENTE - DIHA coberto, exceto se decorrente de riscos R$ 200,00 cada excluídos. 4 SORTEIOS MENSAIS (SÉRIE R$ 500,00 Valores líquidos de Imposto de Renda. FECHADA) ASSISTÊNCIAS PARA AS ENTIDADES BENEFÍCIOS VALOR PARCELAS DESCRIÇÃO Pagamento de rescisão de empregado Até com no mínimo sete anos de vínculo REEMBOLSO D...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ONIBUS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 Isonomia Salarial</t>
        </is>
      </c>
      <c r="O66" s="2" t="inlineStr">
        <is>
          <t>jornada de trabalho de 220 horas mensais. | Banco de Horas.</t>
        </is>
      </c>
      <c r="P66" s="2" t="inlineStr">
        <is>
          <t>aviso prévio indenizado,</t>
        </is>
      </c>
      <c r="Q66" s="2" t="inlineStr"/>
    </row>
    <row r="67">
      <c r="A67" s="2" t="n">
        <v>66</v>
      </c>
      <c r="B67" s="2" t="inlineStr">
        <is>
          <t>138-CCT-SINDICATO DOS EMPREGADOS NO COMERCIO HOTELEIRO E SIMILARES E EM TURISMO E HOSPITALIDADE DE CASCAVEL - SINDICATO INTERESTADUAL DAS INSTITUICOES BENEFICENTES, RELIG-01-01-2025.pdf</t>
        </is>
      </c>
      <c r="C67" s="2" t="inlineStr">
        <is>
          <t>SINDICATO DOS EMPREGADOS NO COMERCIO HOTELEIRO E SIMILARES E EM TURISMO E HOSPITALIDADE DE CASCAVEL</t>
        </is>
      </c>
      <c r="D67" s="2" t="inlineStr"/>
      <c r="E67" s="2" t="inlineStr">
        <is>
          <t>78.680.568/0001-98</t>
        </is>
      </c>
      <c r="F67" s="2" t="inlineStr">
        <is>
          <t>80.043.011/0001-98</t>
        </is>
      </c>
      <c r="G67" s="2" t="inlineStr">
        <is>
          <t>01º de janeiro de
2025</t>
        </is>
      </c>
      <c r="H67" s="2" t="inlineStr">
        <is>
          <t>31 de dezembro de 2026</t>
        </is>
      </c>
      <c r="I67" s="2" t="inlineStr">
        <is>
          <t>01º de janeiro de
2025</t>
        </is>
      </c>
      <c r="J67" s="2" t="inlineStr">
        <is>
          <t>6,5%</t>
        </is>
      </c>
      <c r="K67" s="2" t="inlineStr"/>
      <c r="L67"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7" s="2" t="inlineStr"/>
      <c r="N67" s="2"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O67" s="2" t="inlineStr">
        <is>
          <t>banco de horas.</t>
        </is>
      </c>
      <c r="P67" s="2" t="inlineStr"/>
      <c r="Q67" s="2" t="inlineStr"/>
    </row>
    <row r="68">
      <c r="A68" s="2" t="n">
        <v>67</v>
      </c>
      <c r="B68" s="2" t="inlineStr">
        <is>
          <t>138-CCT-SINDICATO DOS EMPREGADOS NO COMERCIO HOTELEIRO E SIMILARES E EM TURISMO E HOSPITALIDADE DE CASCAVEL-01-01-2025.pdf</t>
        </is>
      </c>
      <c r="C68" s="2" t="inlineStr">
        <is>
          <t>SINDICATO DOS EMPREGADOS NO COMERCIO HOTELEIRO E SIMILARES E EM TURISMO E HOSPITALIDADE DE CASCAVEL</t>
        </is>
      </c>
      <c r="D68" s="2" t="inlineStr"/>
      <c r="E68" s="2" t="inlineStr">
        <is>
          <t>78.680.568/0001-98</t>
        </is>
      </c>
      <c r="F68" s="2" t="inlineStr">
        <is>
          <t>80.043.011/0001-98</t>
        </is>
      </c>
      <c r="G68" s="2" t="inlineStr">
        <is>
          <t>01º de janeiro de
2025</t>
        </is>
      </c>
      <c r="H68" s="2" t="inlineStr">
        <is>
          <t>31 de dezembro de 2026</t>
        </is>
      </c>
      <c r="I68" s="2" t="inlineStr">
        <is>
          <t>01º de janeiro de
2025</t>
        </is>
      </c>
      <c r="J68" s="2" t="inlineStr">
        <is>
          <t>6,5%</t>
        </is>
      </c>
      <c r="K68" s="2" t="inlineStr"/>
      <c r="L68"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68" s="2" t="inlineStr"/>
      <c r="N68" s="2" t="inlineStr">
        <is>
          <t>**Auxílio Transporte / Vale-transporte**: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
**Auxílio Creche**:
Creches, Orfanatos, e Casa de Menores), Lavanderias e Similares, com abrangência territorial em Cascavel/PR. Salários, Reajustes e Pagamento Piso Salarial
**Plano de Saúde / Assistência Médica**:
plano de saúde, plano odontológico, cesta básica e moradia. Contrato de Trabalho – Admissão, Demissão, Modalidades Desligamento/Demissão
**Plano Odontológico**:
odontológico, cesta básica e moradia. Contrato de Trabalho – Admissão, Demissão, Modalidades Desligamento/Demissão
**Seguro de Vida**:
Seguro de Vida
**Bolsa / Estudo**:
estudantes, preferencialmente, desde que requerido, terão suas férias concedidas na mesma época das férias escolares.
**Cesta Básica**:
CESTA BÁSICA R$ 500,00 1 por período superior a 60 dias. COMPLEMENTO DE Afastamento por doença REMUNERAÇÃO POR R$ 1.000,00 1 por período superior a AFASTAMENTO 90 dias. Matrícula do(a) filho(a) REEMBOLSO CRECHE R$ 600,00 1 em creche particular. Em caso de casamento CASAMENTO R$ 900,00 1 do titular. Aposentadoria do APOSENTADORIA R$ 2.000,00 1 titular. Aquisição de material escolar de filho(s) 1 RE...
**Diárias / Ressarcimento**:
diárias de exclusivamente por HOSPITALAR POR acidente pessoal ACIDENTE - DIHA R$ 200,00 cada coberto, exceto se decorrente de riscos excluídos. 4 SORTEIOS MENSAIS Valores líquidos de R$ 500,00 (SÉRIE FECHADA) Imposto de Renda. ASSISTÊNCIAS PARA AS ENTIDADES BENEFÍCIOS VALOR PARCELAS DESCRIÇÃO Pagamento de rescisão de empregado com no Até REEMBOLSO DE mínimo sete anos de 1 RESCISÃO vínculo empregat...
**Adicional de Insalubridade**:
Adicional de Insalubridade
**Adicional Noturno**:
Adicional Noturno
**Horas Extras**:
HORA EXTRA Na hipótese de supressão parcial ou integral das horas extras, deverão os empregadores observar o estabelecido no Enunciado da Súmula nº. 291 do Tribunal Superior do Trabalho. Férias e Licenças Duração e Concessão de Férias
**Descanso Semanal Remunerado**: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**Abono de Faltas**:
ABONO DE FALTAS JUSTIFICADAS Poderão os empregados se ausentarem do trabalho, sem prejuízo do salário, conforme disposto no Art. 473, CLT, nas seguintes condições: a) até 2 (dois) dias consecutivos, em caso de falecimento do cônjuge, ascendente, descendente, irmão ou pessoa que, declarada em sua carteira de trabalho e previdência social, viva sob sua dependência econômica; b) até 3 (três) dias con...
**FGTS**: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O68" s="2" t="inlineStr">
        <is>
          <t>banco de horas.</t>
        </is>
      </c>
      <c r="P68" s="2" t="inlineStr"/>
      <c r="Q68" s="2" t="inlineStr"/>
    </row>
    <row r="69">
      <c r="A69" s="2" t="n">
        <v>68</v>
      </c>
      <c r="B69" s="2" t="inlineStr">
        <is>
          <t>138-CCT-SINDICATO DOS EMPREGADOS NO COMERCIO HOTELEIRO E SIMILARES E EM TURISMO E HOSPITALIDADE DE CASCAVEL-01-05-2025.pdf</t>
        </is>
      </c>
      <c r="C69" s="2" t="inlineStr">
        <is>
          <t>SINDICATO DOS EMPREGADOS NO COMERCIO HOTELEIRO E SIMILARES E EM TURISMO E HOSPITALIDADE DE CASCAVEL</t>
        </is>
      </c>
      <c r="D69" s="2" t="inlineStr">
        <is>
          <t>FEDERACAO DOS EMPR EM TURISMO E HOSPITALIDADE DO EST PR</t>
        </is>
      </c>
      <c r="E69" s="2" t="inlineStr">
        <is>
          <t>78.680.568/0001-98</t>
        </is>
      </c>
      <c r="F69" s="2" t="inlineStr">
        <is>
          <t>80.043.011/0001-98</t>
        </is>
      </c>
      <c r="G69" s="2" t="inlineStr">
        <is>
          <t>01º de maio de 2025</t>
        </is>
      </c>
      <c r="H69" s="2" t="inlineStr">
        <is>
          <t>30 de abril de 2027</t>
        </is>
      </c>
      <c r="I69" s="2" t="inlineStr">
        <is>
          <t>01º de maio de 2025</t>
        </is>
      </c>
      <c r="J69" s="2" t="inlineStr">
        <is>
          <t>6,5%</t>
        </is>
      </c>
      <c r="K69" s="2" t="inlineStr">
        <is>
          <t>A) Cabeleireiros, podólogos, esteticistas, com formação superior sequencial,: R$ 3.134,27
B) Esteticista iniciante com até 06 (seis) meses de serviço,: R$ 2.567,59
C) Barbeiros, cabeleireiros, manicure, pedicure, podólogos, massagista, depilador (a), foto depiladora, maquilador (a) com qualificação básica profissional e designer de sobrancelha,: R$ 2.344,10
D) Auxiliares e assistentes, faxineira(o), consultor(a) de vendas externa ou interna, copeira, recepcionista de salões de beleza ou centro de estéticas, segurança, vigia: R$ 2.149,17
E) Instrutor de cabeleireiros, de massagistas, de manicures, de pedicuras, de limpeza de pele, de depilação e similares,: R$ 3.378,97
F) Gerente administrativo: R$ 4.226,80</t>
        </is>
      </c>
      <c r="L69" s="2" t="inlineStr">
        <is>
          <t>10% - 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t>
        </is>
      </c>
      <c r="M69" s="2" t="inlineStr"/>
      <c r="N69" s="2" t="inlineStr">
        <is>
          <t>**Auxílio Transporte / Vale-transporte**:
Auxílio Transporte
**Refeição / Alimentação (VA/VR)**:
refeição fornecida pelo empregador ou ao pagamento equivalente a 6% (seis por cento) do salário base do empregado, por dia em que ocorrer tal situação.
**Auxílio Creche**:
Auxílio Creche
**Plano de Saúde / Assistência Médica**: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
**Plano Odontológico**:
odontológico”, deverão ser extensivas aos profissionais parceiros, devendo esta modalidade de benefício ser ajustada diretamente com o Sindicato Patronal. Serão nulos e sem qualquer efeito jurídico os contratos que tratam desta
**Seguro de Vida**: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**Bolsa / Estudo**:
estudantes e vestibulandos terão abonadas as faltas havidas para a realização de exames, do ENEM e do ENAD, devendo o empregado comprovar a realização dos exames. Faltas
**Cesta Básica**: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
**Diárias / Ressarcimento**:
diárias de Em caso de hospitalização causada exclusivamente por acidente pessoal coberto, HOSPITALAR POR ACIDENTE - exceto se decorrente de riscos excluídos. DIHA R$ 200,00 cada 4 SORTEIOS MENSAIS (SÉRIE R$ 500,00 Valores líquidos de Imposto de Renda. FECHADA) ASSISTÊNCIAS PARA AS EMPRESAS BENEFÍCIOS VALOR PARCELAS DESCRIÇÃO Até Pagamento de rescisão de empregado com no mínimo sete anos de vínculo...
**Adicional Noturno**:
Adicional Noturno
**Horas Extras**:
HORA EXTRA As horas extras serão remuneradas com adicional de 70% (Setenta por cento) sobre o valor da hora normal. Adicional de Tempo de Serviço
**Descanso Semanal Remunerado**: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**Abono de Faltas**:
ABONO DE FALTAS Os empregados estudantes e vestibulandos terão abonadas as faltas havidas para a realização de exames, do ENEM e do ENAD, devendo o empregado comprovar a realização dos exames. Faltas
**FGTS**:
FGTS.</t>
        </is>
      </c>
      <c r="O69" s="2" t="inlineStr"/>
      <c r="P69" s="2" t="inlineStr">
        <is>
          <t>aviso prévio dado pelo empregador superior a 30 dias, fica o empregado dispensado do cumprimento do mesmo, e | aviso
prévio indenizado, serão atualizadas com base no INPC (Índice Nacional de Preços ao Consumidor - IBGE), ou em caso de sua extinção, pelo IGP-M (Índice</t>
        </is>
      </c>
      <c r="Q69" s="2" t="inlineStr"/>
    </row>
    <row r="70">
      <c r="A70" s="2" t="n">
        <v>69</v>
      </c>
      <c r="B70" s="2" t="inlineStr">
        <is>
          <t>138-CCT-SINDICATO DOS EMPREGADOS NO COMERCIO HOTELEIRO E SIMILARES E EM TURISMO E HOSPITALIDADE DE CASCAVEL-01-05-2026.pdf</t>
        </is>
      </c>
      <c r="C70" s="2" t="inlineStr">
        <is>
          <t>SINDICATO DOS EMPREGADOS NO COMERCIO HOTELEIRO, MEIOS DE HOSPEDAGEM, RESTAURANTES, GASTRONOMIA, ALIMENTACAO PREPARADA, CONDOMINIOS, IMOBILIARIAS</t>
        </is>
      </c>
      <c r="D70" s="2" t="inlineStr">
        <is>
          <t>FEDERACAO DOS EMPR EM TURISMO E HOSPITALIDADE DO EST PR</t>
        </is>
      </c>
      <c r="E70" s="2" t="inlineStr">
        <is>
          <t>78.680.568/0001-98</t>
        </is>
      </c>
      <c r="F70" s="2" t="inlineStr">
        <is>
          <t>80.043.011/0001-98</t>
        </is>
      </c>
      <c r="G70" s="2" t="inlineStr">
        <is>
          <t>01º de maio de 2026</t>
        </is>
      </c>
      <c r="H70" s="2" t="inlineStr">
        <is>
          <t>30 de abril de 2027</t>
        </is>
      </c>
      <c r="I70" s="2" t="inlineStr">
        <is>
          <t>01º de maio de 2026</t>
        </is>
      </c>
      <c r="J70" s="2" t="inlineStr">
        <is>
          <t>4,33%</t>
        </is>
      </c>
      <c r="K70" s="2" t="inlineStr"/>
      <c r="L70" s="2" t="inlineStr">
        <is>
          <t>1,5%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t>
        </is>
      </c>
      <c r="M70" s="2" t="inlineStr">
        <is>
          <t xml:space="preserve">CONTRIBUIÇÃO PATRONAL Conforme deliberação da Assembleia Geral Extraordinária foram aprovados os seguintes valores referentes a taxa de reversão assistencial patronal pelas empresas sindicalizadas ou não, que se enquadram nesta categoria econômica e que consiste na obrigação de recolher em favor do </t>
        </is>
      </c>
      <c r="N70" s="2" t="inlineStr">
        <is>
          <t>**Auxílio Transporte / Vale-transporte**:
Auxílio Transporte
**Refeição / Alimentação (VA/VR)**:
vale alimentação o correspondente ao dia da falta. Para encontrar o valor do desconto, divide-se R$ 155,00 (Cento e Cinquenta e Cinco Reais) por 26 que equivale a R$ 5,96 (Cinco Reais e Noventa e Seis Centavos); Parágrafo Sexto: As empresas que já forneciam o vale alimentação em valor superior a 155,00 (Cento e Cinquenta e Cinco Reais) deverão manter o pagamento no valor que já vinha sendo pago ao...
**Auxílio Creche**:
Creches, Orfanatos, e Casa de Menores), Lavanderias e Similares, com abrangência territorial em Assis Chateaubriand/PR, Cafelândia/PR, Cascavel/PR, Guaíra/PR, Marechal Cândido Rondon/PR, Nova Santa Rosa/PR, Palotina/PR, Terra Roxa/PR, Toledo/PR e Tupãssi/PR. Salários, Reajustes e Pagamento Piso Salarial
**Plano Odontológico**: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
**Seguro de Vida**:
seguro de vida com a Central Clube de Seguros,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**Cesta Básica**:
CESTA BÁSICA R$ 500,00 1 a 60 dias. COMPLEMENTO DE Afastamento por doença por período superior REMUNERAÇÃO POR R$ 1.000,00 1 a 90 dias. AFASTAMENTO REEMBOLSO CRECHE R$ 600,00 1 Matrícula do(a) filho(a) em creche particular. CASAMENTO R$ 900,00 1 Em caso de casamento do titular. Aquisição de material escolar de filho(s) REEMBOLSO Até R$ 500,00 1 matriculado(s) em escola particular no ensino MATERIA...
**Diárias / Ressarcimento**:
diárias de viagem que não excedam de cinquenta por cento do salário percebido pelo empregado. Em concordância com a legislação esta ajuda de custo para transporte não tem natureza salarial, não integrando a remuneração do empregado para qualquer fim. Parágrafo Sétimo: Transporte de acidentados, doentes ou parturiente: Para os casos de acidente, mal súbito ou parto de empregada, desde que ocorram n...
**Adicional Noturno**:
Adicional Noturno
**Descanso Semanal Remunerado**:
descanso semanal remunerado aos seus empregados, deverão dar ciência aos mesmos, no mínimo 7 (sete) dias antes de sua respectiva folga. c) INTERVALO INTERJORNADA: Entre 2 (duas) jornadas de trabalho haverá um período mínimo de 11 (onze) horas consecutivas para descanso. (Art. 66 da CLT). d) INTERVALO INTRAJORNADA: Em qualquer trabalho contínuo, cuja duração exceda de 6 horas, é obrigatória a conce...
**Abono de Faltas**: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
**FGTS**:
FGTS do mês.</t>
        </is>
      </c>
      <c r="O70" s="2" t="inlineStr"/>
      <c r="P70" s="2" t="inlineStr"/>
      <c r="Q70" s="2" t="inlineStr"/>
    </row>
    <row r="71">
      <c r="A71" s="2" t="n">
        <v>70</v>
      </c>
      <c r="B71" s="2" t="inlineStr">
        <is>
          <t>145-CCT-SINDICATO DOS EMPREGADOS NO COMERCIO DE FCO BELTRAO - SIND DOS ESTABELECIMENTOS DE SERV FUNERARIO EST PARANA-01-06-2025.pdf</t>
        </is>
      </c>
      <c r="C71" s="2" t="inlineStr">
        <is>
          <t>SINDICATO DOS EMPREGADOS NO COMERCIO DE FCO BELTRAO</t>
        </is>
      </c>
      <c r="D71" s="2" t="inlineStr">
        <is>
          <t>SIND DOS ESTABELECIMENTOS DE SERV FUNERARIO EST PARANA</t>
        </is>
      </c>
      <c r="E71" s="2" t="inlineStr">
        <is>
          <t>78.123.999/0001-53</t>
        </is>
      </c>
      <c r="F71" s="2" t="inlineStr">
        <is>
          <t>78.206.786/0001-95</t>
        </is>
      </c>
      <c r="G71" s="2" t="inlineStr">
        <is>
          <t>01º de junho de 2025</t>
        </is>
      </c>
      <c r="H71" s="2" t="inlineStr">
        <is>
          <t>31 de maio de 2026</t>
        </is>
      </c>
      <c r="I71" s="2" t="inlineStr">
        <is>
          <t>01º de junho de 2025</t>
        </is>
      </c>
      <c r="J71" s="2" t="inlineStr">
        <is>
          <t>5,00%</t>
        </is>
      </c>
      <c r="K71" s="2" t="inlineStr">
        <is>
          <t>A) Aos empregados lotados nas funções de auxiliares de serviços gerais, copa, cozinha, limpeza e portaria –: R$ 1.676,02
B) Aos demais empregados –: R$ 1.947,98
C) Aos empregados comissionistas com mais de 90 (noventa) dias de trabalho ao mesmo empregador, caso as comissões não alcancem valor correspondente, assegura-se uma garantia salarial mínima de: R$ 1.947,98
A) Aos empregados lotados nas funções de auxiliares de serviços gerais, copa, cozinha, limpeza e portaria –: R$ 1.769,37
B) Aos demais empregados –: R$ 2.059,00
C) Aos empregados comissionistas com mais de 90 (noventa) dias de trabalho ao mesmo empregador, caso as comissões não alcancem valor correspondente, assegura-se uma garantia salarial mínima de: R$ 2.059,00</t>
        </is>
      </c>
      <c r="L71" s="2"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M71" s="2" t="inlineStr"/>
      <c r="N71" s="2" t="inlineStr">
        <is>
          <t>**Auxílio Transporte / Vale-transporte**:
Auxílio Transporte
**Refeição / Alimentação (VA/VR)**:
vale-refeição ou vale-alimentação aos empregados abrangidos pela categoria, no valor de R$16,00 (dezesseis reais) por dia trabalhado, a partir da data da assinatura da presente Convenção. A empresa oferecerá, conforme seu critério, vale-refeição ou vale-alimentação, no valor diário acima estabelecido. A empresa poderá ainda fornecer alimentação sob outras modalidades como restaurante terceirizado ...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**Seguro de Vida**:
seguro de vida e acidentes pessoais em favor dos empregados que desenvolvam serviços preponderantemente externos, na condução de veículos. Relações Sindicais Contribuições Sindicais
**Bolsa / Estudo**:
estudantes que comprovem a sua situação escolar, desde que expressem o seu desinteresse pela prorrogação. Compensação de Jornada
**Adicional Noturno**:
adicional noturno com o percentual de 20% (vinte por cento), e observada a hora noturna reduzida, conforme definição legal. Prorrogação/Redução de Jornada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Abonar-se-ão faltas aos empregados estudantes e vestibulandos, nos dias em que estiver comprovadamente realizando provas de exame vestibular para ingresso em estabelecimento de ensino superior. Outras disposições sobre jornada
**FGTS**:
FGTS. Parágrafo segundo: Havendo aumento de tarifas, após o pagamento opcional em dinheiro, as empresas efetuarão em até 10 (dez) a complementação do auxílo. Contrato de Trabalho – Admissão, Demissão, Modalidades Normas para Admissão/Contratação</t>
        </is>
      </c>
      <c r="O71" s="2" t="inlineStr">
        <is>
          <t>Compensação de Jornada</t>
        </is>
      </c>
      <c r="P71" s="2" t="inlineStr">
        <is>
          <t>aviso prévio indenizado, adotar-se-á a</t>
        </is>
      </c>
      <c r="Q71" s="2" t="inlineStr">
        <is>
          <t>penalidade prevista na cláusula 43ª desta Convenção Coletiva de Trabalho.</t>
        </is>
      </c>
    </row>
    <row r="72">
      <c r="A72" s="2" t="n">
        <v>71</v>
      </c>
      <c r="B72" s="2" t="inlineStr">
        <is>
          <t>145-CCT-SINDICATO DOS EMPREGADOS NO COMERCIO DE FCO BELTRAO - SINDICATO DOS LOJISTAS E DO COMERCIO VAREJISTA DE FRANCISCO-01-06-2025.pdf</t>
        </is>
      </c>
      <c r="C72" s="2" t="inlineStr">
        <is>
          <t>SINDICATO DOS EMPREGADOS NO COMERCIO DE FCO BELTRAO</t>
        </is>
      </c>
      <c r="D72" s="2" t="inlineStr">
        <is>
          <t>SINDICATO DOS LOJISTAS E DO COMERCIO VAREJISTA DE FRANCISCO BELTRAO - SINDILOJAS</t>
        </is>
      </c>
      <c r="E72" s="2" t="inlineStr">
        <is>
          <t>78.123.999/0001-53</t>
        </is>
      </c>
      <c r="F72" s="2" t="inlineStr">
        <is>
          <t>78.687.084/0001-70</t>
        </is>
      </c>
      <c r="G72" s="2" t="inlineStr">
        <is>
          <t>01º de junho de 2025</t>
        </is>
      </c>
      <c r="H72" s="2" t="inlineStr">
        <is>
          <t>31
de maio de 2026</t>
        </is>
      </c>
      <c r="I72" s="2" t="inlineStr">
        <is>
          <t>01º de junho de 2025</t>
        </is>
      </c>
      <c r="J72" s="2" t="inlineStr">
        <is>
          <t>6,10%</t>
        </is>
      </c>
      <c r="K72" s="2" t="inlineStr">
        <is>
          <t>B) Empacotador/pacoteiro,: R$ 1.769,00
C) Aos demais empregados,: R$ 2.087,00</t>
        </is>
      </c>
      <c r="L72" s="2" t="inlineStr">
        <is>
          <t>contribuição negocial, prevista em</t>
        </is>
      </c>
      <c r="M72" s="2" t="inlineStr"/>
      <c r="N72" s="2"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72" s="2" t="inlineStr">
        <is>
          <t>jornada de
trabalho de 7h20min diárias, desde que respeitado o limite semanal de 44 horas. | BANCO DE HORAS</t>
        </is>
      </c>
      <c r="P72" s="2" t="inlineStr"/>
      <c r="Q72" s="2" t="inlineStr"/>
    </row>
    <row r="73">
      <c r="A73" s="2" t="n">
        <v>72</v>
      </c>
      <c r="B73" s="2" t="inlineStr">
        <is>
          <t>145-CCT-SINDICATO DOS EMPREGADOS NO COMERCIO DE FCO BELTRAO - SINDICATO INTERMUNICIPAL DO COMERCIO VAREJISTA DE MATERIAIS-01-06-2025.pdf</t>
        </is>
      </c>
      <c r="C73" s="2" t="inlineStr">
        <is>
          <t>SINDICATO DOS EMPREGADOS NO COMERCIO DE FCO BELTRAO</t>
        </is>
      </c>
      <c r="D73" s="2" t="inlineStr">
        <is>
          <t>SINDICATO INTERMUNICIPAL DO COMERCIO VAREJISTA DE MATERIAIS</t>
        </is>
      </c>
      <c r="E73" s="2" t="inlineStr">
        <is>
          <t>78.123.999/0001-53</t>
        </is>
      </c>
      <c r="F73" s="2" t="inlineStr">
        <is>
          <t>76.683.028/0001-32</t>
        </is>
      </c>
      <c r="G73" s="2" t="inlineStr">
        <is>
          <t>01º de junho de
2025</t>
        </is>
      </c>
      <c r="H73" s="2" t="inlineStr">
        <is>
          <t>31 de maio de 2026</t>
        </is>
      </c>
      <c r="I73" s="2" t="inlineStr">
        <is>
          <t>01º de junho de
2025</t>
        </is>
      </c>
      <c r="J73" s="2" t="inlineStr">
        <is>
          <t>6,20%</t>
        </is>
      </c>
      <c r="K73" s="2" t="inlineStr">
        <is>
          <t>A) Aos empregados lotados nas funções de “Office-boy”, cozinha e limpeza –: R$ 1.872,00
B) Aos demais empregados –: R$ 2.060,00
C) Aos empregados comissionistas com mais de 90 (noventa) dias de trabalho ao mesmo empregador, caso as comissões não alcancem valor correspondente, assegura-se uma garantia salarial mínima de: R$ 2.080,00</t>
        </is>
      </c>
      <c r="L73" s="2" t="inlineStr">
        <is>
          <t>2% - CONTRIBUIÇÃO NEGOCIAL E ASSISTENCIAL PATRONAL As empresas que compõem a categoria econômica na base territorial sindical, associadas ou não, beneficiárias desta Convenção Coletiva de Trabalho, recolherão em favor do Sindicato Intermunicipal do Comércio Varejista de Materiais de Construção no Estado ...</t>
        </is>
      </c>
      <c r="M73" s="2" t="inlineStr"/>
      <c r="N73" s="2" t="inlineStr">
        <is>
          <t>**Refeição / Alimentação (VA/VR)**:
VALE REFEIÇÃO/ALIMENTAÇÃO Fica estabelecida a obrigatoriedade do fornecimento do vale-refeição ou alimentação aos empregados abrangidos pela categoria, no valor mensal de R$ 308,00 (Trezentos e oito reais), a partir da data da assinatura da presente Convenção. Tal importe é de natureza indenizatória e não se integra à remuneração para quaisquer efeitos, inclusive fiscais e previdenciários. Parágra...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por escrito o seu desinteresse pela prorrogação. Intervalos para Descanso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R$ 308,00 (Trezentos e oito rea...
**Descanso Semanal Remunerado**:
repouso semanal remunerado. § 1º - Para o cálculo do 13º salário, adotar-se-á a média das comissões pagas no ano a contar de Janeiro; no caso das férias indenizadas, integrais ou proporcionais, indenização, e aviso prévio indenizado, adotar-se-á a média das comissões nos doze meses anteriores ao mês da rescisão; e no caso de férias integrais, será considerada a média das comissões nos doze meses a...
**Abono de Faltas**:
ABONO DE FALTAS Fica convencionado que as faltas conforme parágrafos a seguir, serão abonadas pelo empregador: Parágrafo primeiro: Abonar-se-ão as faltas aos empregados estudantes, que prestarem vestibular ou prova equivalente (ENEM), desde que comprovada tal situação. Parágrafo segundo: Assegura-se o direito à ausência remunerada ao empregado, até 02 (dois) dias por semestre para acompanhamento d...</t>
        </is>
      </c>
      <c r="O73" s="2" t="inlineStr"/>
      <c r="P73" s="2" t="inlineStr">
        <is>
          <t>aviso
prévio indenizado, adotar-se-á a média das comissões nos doze meses anteriores ao mês da</t>
        </is>
      </c>
      <c r="Q73" s="2" t="inlineStr"/>
    </row>
    <row r="74">
      <c r="A74" s="2" t="n">
        <v>73</v>
      </c>
      <c r="B74" s="2" t="inlineStr">
        <is>
          <t>145-CCT-SINDICATO DOS EMPREGADOS NO COMERCIO DE FCO BELTRAO - SINDICATO PATRONAL DO COMERCIO VAREJISTA DE PATO BRANCO-01-06-2025.pdf</t>
        </is>
      </c>
      <c r="C74" s="2" t="inlineStr">
        <is>
          <t>SINDICATO DOS EMPREGADOS NO COMERCIO DE FCO BELTRAO</t>
        </is>
      </c>
      <c r="D74" s="2" t="inlineStr">
        <is>
          <t>SINDICATO PATRONAL DO COMERCIO VAREJISTA DE PATO BRANCO</t>
        </is>
      </c>
      <c r="E74" s="2" t="inlineStr">
        <is>
          <t>78.123.999/0001-53</t>
        </is>
      </c>
      <c r="F74" s="2" t="inlineStr">
        <is>
          <t>75.616.805/0001-63</t>
        </is>
      </c>
      <c r="G74" s="2" t="inlineStr">
        <is>
          <t>01º de junho de
2025</t>
        </is>
      </c>
      <c r="H74" s="2" t="inlineStr">
        <is>
          <t>31 de maio de 2026</t>
        </is>
      </c>
      <c r="I74" s="2" t="inlineStr">
        <is>
          <t>01º de junho de
2025</t>
        </is>
      </c>
      <c r="J74" s="2" t="inlineStr">
        <is>
          <t>6,10%</t>
        </is>
      </c>
      <c r="K74" s="2" t="inlineStr">
        <is>
          <t>B) Empacotador/pacoteiro,: R$ 1.769,00
C) Aos demais empregados,: R$ 2.087,00</t>
        </is>
      </c>
      <c r="L74" s="2" t="inlineStr">
        <is>
          <t>10% - CONTRIBUIÇÃO NEGOCIAL DOS EMPREGADOS Em conformidade com o disposto nos incisos III IV, artigo 8.º da Constituição da República, tema 935 do STF, art. 8° da Convenção Internacional nº 95 da OIT (Organização Internacional do Trabalho) ratificada pelo Brasil, art. 611-A da CLT, Notas Técnicas 02/2018 ...</t>
        </is>
      </c>
      <c r="M74" s="2" t="inlineStr"/>
      <c r="N74" s="2" t="inlineStr">
        <is>
          <t>**Auxílio Transporte / Vale-transporte**:
Auxílio Transporte
**Auxílio Creche**:
creches, hospitais entre outros) e cientificar seus empregados. Transferência setor/empresa
**Plano de Saúde / Assistência Médica**:
assistência médica, entre outros, desde que haja consentimento por escrito do empregado. Gratificações, Adicionais, Auxílios e Outros Adicional de Hora-Extra
**Bolsa / Estudo**:
estudantes, que comprovem tal situação. Salvo, se expressamente manifestarem desinteresse por esta vedação, e desde que em horários compatíveis com o início e término das aulas.
**Diárias / Ressarcimento**:
diárias e quarenta e quatro horas semanais. Contudo, considerando as particularidades do setor de Mercados, Minimercados, Supermercados, Hipermercados e Atacarejos (Atacado e Varejo no mesmo local), as partes signatárias, deste instrumento normativo, de comum acordo, e nos termos do parágrafo primeiro, art. 3°, da referida lei, estabelecem que, as empresas poderão adotar jornada de trabalho de 7h2...
**Adicional Noturno**:
Adicional Noturno
**Horas Extras**:
HORA EXTRA As horas extras serão pagas, de forma escalonada, com adicional de 55% (cinquenta e cinco por cento) para as primeiras 20 (vinte) mensais, 65% (sessenta e cinco por cento) para as que ultrapassarem as 20 (vinte) horas mensais. Parágrafo único: A duração normal do trabalho poderá, eventualmente, ser acrescida de horas suplementares, em número não excedente de duas, mediante acordo escrit...
**Descanso Semanal Remunerado**:
REPOUSO SEMANAL REMUNERADO - DOMINGOS Para todos os empregados(as) o repouso semanal remunerado - RSR será fruído, preferencialmente, aos domingos, contudo, não havendo esta possibilidade, o mesmo deverá coincidir com o domingo ao menos 01 (uma) vez, após 2 (dois) domingos de trabalho consecutivos. Faltas
**Abono de Faltas**:
abono de faltas em virtude de consultas médico-hospitalares, e abono das horas despendidas quando da realização de exames clínicos e laboratoriais, necessários ao acompanhamento gestacional, inclusive seu acompanhante (se for comerciário empregado nas categorias representadas pelas entidades signatárias deste instrumento coletivo), no período anterior, durante e pós-parto mediante apresentação de ...
**FGTS**:
FGTS. Parágrafo único: Recomenda-se o pagamento de salários e demais verbas mediante depósito bancário ou qualquer outro meio eletrônico, hipótese em que o comprovante poderá ser fornecido por meio eletrônico, dispensando dessa forma a assinatura do empregado.</t>
        </is>
      </c>
      <c r="O74" s="2" t="inlineStr">
        <is>
          <t>jornada de
trabalho inferior a 30 horas semanais, o valor poderá ser pago proporcional a sua carga horária. | BANCO DE HORAS</t>
        </is>
      </c>
      <c r="P74" s="2" t="inlineStr"/>
      <c r="Q74" s="2" t="inlineStr"/>
    </row>
    <row r="75">
      <c r="A75" s="2" t="n">
        <v>74</v>
      </c>
      <c r="B75" s="2" t="inlineStr">
        <is>
          <t>145-TA-CCT-SINDICATO DOS EMPREGADOS NO COMERCIO DE FCO BELTRAO - SINDICATO DOS LOJISTAS E DO COMERCIO VAREJISTA DE FRANCISCO-01-06-2025.pdf</t>
        </is>
      </c>
      <c r="C75" s="2" t="inlineStr">
        <is>
          <t>SINDICATO DOS EMPREGADOS NO COMERCIO DE FCO BELTRAO</t>
        </is>
      </c>
      <c r="D75" s="2" t="inlineStr">
        <is>
          <t>SINDICATO DOS LOJISTAS E DO COMERCIO VAREJISTA DE FRANCISCO BELTRAO - SINDILOJAS</t>
        </is>
      </c>
      <c r="E75" s="2" t="inlineStr">
        <is>
          <t>78.123.999/0001-53</t>
        </is>
      </c>
      <c r="F75" s="2" t="inlineStr">
        <is>
          <t>78.687.084/0001-70</t>
        </is>
      </c>
      <c r="G75" s="2" t="inlineStr">
        <is>
          <t>01º
de junho de 2025</t>
        </is>
      </c>
      <c r="H75" s="2" t="inlineStr">
        <is>
          <t>31 de agosto de 2026</t>
        </is>
      </c>
      <c r="I75" s="2" t="inlineStr">
        <is>
          <t>01º
de junho de 2025</t>
        </is>
      </c>
      <c r="J75" s="2" t="inlineStr"/>
      <c r="K75" s="2" t="inlineStr"/>
      <c r="L75" s="2" t="inlineStr"/>
      <c r="M75" s="2" t="inlineStr"/>
      <c r="N75" s="2"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O75" s="2" t="inlineStr"/>
      <c r="P75" s="2" t="inlineStr"/>
      <c r="Q75" s="2" t="inlineStr"/>
    </row>
    <row r="76">
      <c r="A76" s="2" t="n">
        <v>75</v>
      </c>
      <c r="B76" s="2" t="inlineStr">
        <is>
          <t>145-TA-CCT-SINDICATO DOS EMPREGADOS NO COMERCIO DE FCO BELTRAO-01-06-2025.pdf</t>
        </is>
      </c>
      <c r="C76" s="2" t="inlineStr">
        <is>
          <t>SINDICATO DOS EMPREGADOS NO COMERCIO DE FCO BELTRAO</t>
        </is>
      </c>
      <c r="D76" s="2" t="inlineStr">
        <is>
          <t>SINDICATO DOS LOJISTAS E DO COMERCIO VAREJISTA DE FRANCISCO BELTRAO - SINDILOJAS</t>
        </is>
      </c>
      <c r="E76" s="2" t="inlineStr">
        <is>
          <t>78.123.999/0001-53</t>
        </is>
      </c>
      <c r="F76" s="2" t="inlineStr">
        <is>
          <t>78.687.084/0001-70</t>
        </is>
      </c>
      <c r="G76" s="2" t="inlineStr">
        <is>
          <t>01º
de junho de 2025</t>
        </is>
      </c>
      <c r="H76" s="2" t="inlineStr">
        <is>
          <t>31 de agosto de 2026</t>
        </is>
      </c>
      <c r="I76" s="2" t="inlineStr">
        <is>
          <t>01º
de junho de 2025</t>
        </is>
      </c>
      <c r="J76" s="2" t="inlineStr"/>
      <c r="K76" s="2" t="inlineStr"/>
      <c r="L76" s="2" t="inlineStr"/>
      <c r="M76" s="2" t="inlineStr"/>
      <c r="N76" s="2" t="inlineStr">
        <is>
          <t>**Descanso Semanal Remunerado**: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t>
        </is>
      </c>
      <c r="O76" s="2" t="inlineStr"/>
      <c r="P76" s="2" t="inlineStr"/>
      <c r="Q76" s="2" t="inlineStr"/>
    </row>
    <row r="77">
      <c r="A77" s="2" t="n">
        <v>76</v>
      </c>
      <c r="B77" s="2" t="inlineStr">
        <is>
          <t>18-CCT-SINDICATO DOS TRABALHADORES EM TRANSPORTES RODOVIARIOS DE CASCAVEL - FEDERACAO DOS TRABALHADORES EM TRANSP RODOV DO EST PR e Outr-01-01-2026.pdf</t>
        </is>
      </c>
      <c r="C77" s="2" t="inlineStr">
        <is>
          <t>FEDERACAO DOS TRABALHADORES EM TRANSP RODOV DO EST PR</t>
        </is>
      </c>
      <c r="D77" s="2" t="inlineStr"/>
      <c r="E77" s="2" t="inlineStr">
        <is>
          <t>81.455.248/0001-49</t>
        </is>
      </c>
      <c r="F77" s="2" t="inlineStr">
        <is>
          <t>80.251.929/0001-22</t>
        </is>
      </c>
      <c r="G77" s="2" t="inlineStr">
        <is>
          <t>01º de janeiro de
2026</t>
        </is>
      </c>
      <c r="H77" s="2" t="inlineStr">
        <is>
          <t>31 de dezembro de 2027</t>
        </is>
      </c>
      <c r="I77" s="2" t="inlineStr">
        <is>
          <t>01º de janeiro de
2026</t>
        </is>
      </c>
      <c r="J77" s="2" t="inlineStr">
        <is>
          <t>7,5%</t>
        </is>
      </c>
      <c r="K77" s="2" t="inlineStr"/>
      <c r="L77" s="2" t="inlineStr">
        <is>
          <t>CONTRIBUIÇÃO ASSISTENCIAL aqui tratada fica limitada a 1% (um porcento) mensal, calculado</t>
        </is>
      </c>
      <c r="M77" s="2" t="inlineStr"/>
      <c r="N77"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77" s="2" t="inlineStr"/>
      <c r="P77" s="2" t="inlineStr">
        <is>
          <t>aviso prévio indenizado, ficando o empregador obrigado a comprovar o pagamento.</t>
        </is>
      </c>
      <c r="Q77" s="2" t="inlineStr"/>
    </row>
    <row r="78">
      <c r="A78" s="2" t="n">
        <v>77</v>
      </c>
      <c r="B78" s="2" t="inlineStr">
        <is>
          <t>18-CCT-SINDICATO DOS TRABALHADORES EM TRANSPORTES RODOVIARIOS DE CASCAVEL - FEDERACAO DOS TRABALHADORES EM TRANSP RODOV DO EST PR e Outr-01-02-2026.pdf</t>
        </is>
      </c>
      <c r="C78" s="2" t="inlineStr">
        <is>
          <t>FEDERACAO DOS TRABALHADORES EM TRANSP RODOV DO EST PR</t>
        </is>
      </c>
      <c r="D78" s="2" t="inlineStr"/>
      <c r="E78" s="2" t="inlineStr">
        <is>
          <t>81.455.248/0001-49</t>
        </is>
      </c>
      <c r="F78" s="2" t="inlineStr">
        <is>
          <t>80.060.635/0001-13</t>
        </is>
      </c>
      <c r="G78" s="2" t="inlineStr">
        <is>
          <t>01º de fevereiro de
2026</t>
        </is>
      </c>
      <c r="H78" s="2" t="inlineStr">
        <is>
          <t>31 de janeiro de 2028</t>
        </is>
      </c>
      <c r="I78" s="2" t="inlineStr">
        <is>
          <t>01º de fevereiro de
2026</t>
        </is>
      </c>
      <c r="J78" s="2" t="inlineStr">
        <is>
          <t>3,5%</t>
        </is>
      </c>
      <c r="K78" s="2" t="inlineStr"/>
      <c r="L78" s="2" t="inlineStr">
        <is>
          <t>CONTRIBUIÇÃO ASSISTENCIAL aqui tratada fica limitada a 1% (um porcento) mensal, calculado</t>
        </is>
      </c>
      <c r="M78" s="2" t="inlineStr"/>
      <c r="N78"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78" s="2" t="inlineStr">
        <is>
          <t>Compensação de Jornada</t>
        </is>
      </c>
      <c r="P78" s="2" t="inlineStr"/>
      <c r="Q78" s="2" t="inlineStr">
        <is>
          <t>penalidade no valor de 10% (dez por cento) do</t>
        </is>
      </c>
    </row>
    <row r="79">
      <c r="A79" s="2" t="n">
        <v>78</v>
      </c>
      <c r="B79" s="2" t="inlineStr">
        <is>
          <t>18-CCT-SINDICATO DOS TRABALHADORES EM TRANSPORTES RODOVIARIOS DE CASCAVEL - FEDERACAO DOS TRABALHADORES EM TRANSP RODOV DO EST PR e Outr-01-03-2025.pdf</t>
        </is>
      </c>
      <c r="C79" s="2" t="inlineStr">
        <is>
          <t>FEDERACAO DOS TRABALHADORES EM TRANSP RODOV DO EST PR</t>
        </is>
      </c>
      <c r="D79" s="2" t="inlineStr"/>
      <c r="E79" s="2" t="inlineStr">
        <is>
          <t>81.455.248/0001-49</t>
        </is>
      </c>
      <c r="F79" s="2" t="inlineStr">
        <is>
          <t>10.612.279/0001-18</t>
        </is>
      </c>
      <c r="G79" s="2" t="inlineStr">
        <is>
          <t>01º de março de
2025</t>
        </is>
      </c>
      <c r="H79" s="2" t="inlineStr">
        <is>
          <t>28 de fevereiro de 2027</t>
        </is>
      </c>
      <c r="I79" s="2" t="inlineStr">
        <is>
          <t>01º de março de
2025</t>
        </is>
      </c>
      <c r="J79" s="2" t="inlineStr"/>
      <c r="K79" s="2" t="inlineStr"/>
      <c r="L79" s="2" t="inlineStr">
        <is>
          <t>CONTRIBUIÇÃO ASSISTENCIAL aqui tratada fica limitada a 1% (um porcento) mensal, calculado</t>
        </is>
      </c>
      <c r="M79" s="2" t="inlineStr"/>
      <c r="N79"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79" s="2" t="inlineStr">
        <is>
          <t>jornada de trabalho, dos empregados acolhidos pelo presente instrumento, será de 44 horas semanais, | banco de horas”, entre os empregados e a empresa interessados.</t>
        </is>
      </c>
      <c r="P79" s="2" t="inlineStr">
        <is>
          <t>aviso prévio indenizado, este ocorrerá pelos 30 (trinta) primeiros dias, sendo que o</t>
        </is>
      </c>
      <c r="Q79" s="2" t="inlineStr">
        <is>
          <t>penalidade no valor de 10% (dez por cento) do</t>
        </is>
      </c>
    </row>
    <row r="80">
      <c r="A80" s="2" t="n">
        <v>79</v>
      </c>
      <c r="B80" s="2" t="inlineStr">
        <is>
          <t>18-CCT-SINDICATO DOS TRABALHADORES EM TRANSPORTES RODOVIARIOS DE CASCAVEL - FEDERACAO DOS TRABALHADORES EM TRANSP RODOV DO EST PR e Outr-01-06-2025.pdf</t>
        </is>
      </c>
      <c r="C80" s="2" t="inlineStr">
        <is>
          <t>FEDERACAO DOS TRABALHADORES EM TRANSP RODOV DO EST PR</t>
        </is>
      </c>
      <c r="D80" s="2" t="inlineStr"/>
      <c r="E80" s="2" t="inlineStr">
        <is>
          <t>81.455.248/0001-49</t>
        </is>
      </c>
      <c r="F80" s="2" t="inlineStr">
        <is>
          <t>84.782.846/0001-10</t>
        </is>
      </c>
      <c r="G80" s="2" t="inlineStr">
        <is>
          <t>01º de junho de
2025</t>
        </is>
      </c>
      <c r="H80" s="2" t="inlineStr">
        <is>
          <t>30 de maio de 2027</t>
        </is>
      </c>
      <c r="I80" s="2" t="inlineStr">
        <is>
          <t>01º de junho de
2025</t>
        </is>
      </c>
      <c r="J80" s="2" t="inlineStr">
        <is>
          <t>5,20%</t>
        </is>
      </c>
      <c r="K80" s="2" t="inlineStr"/>
      <c r="L80" s="2" t="inlineStr">
        <is>
          <t>CONTRIBUIÇÃO ASSISTENCIAL aqui tratada fica limitada a 1% (um porcento) mensal, calculado</t>
        </is>
      </c>
      <c r="M80" s="2" t="inlineStr"/>
      <c r="N80"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80" s="2" t="inlineStr">
        <is>
          <t>Compensação de Jornada</t>
        </is>
      </c>
      <c r="P80" s="2" t="inlineStr"/>
      <c r="Q80" s="2" t="inlineStr"/>
    </row>
    <row r="81">
      <c r="A81" s="2" t="n">
        <v>80</v>
      </c>
      <c r="B81" s="2" t="inlineStr">
        <is>
          <t>18-CCT-SINDICATO DOS TRABALHADORES EM TRANSPORTES RODOVIARIOS DE CASCAVEL-01-01-2025.pdf</t>
        </is>
      </c>
      <c r="C81" s="2" t="inlineStr">
        <is>
          <t>FEDERACAO DOS TRABALHADORES EM TRANSP RODOV DO EST PR</t>
        </is>
      </c>
      <c r="D81" s="2" t="inlineStr"/>
      <c r="E81" s="2" t="inlineStr">
        <is>
          <t>81.455.248/0001-49</t>
        </is>
      </c>
      <c r="F81" s="2" t="inlineStr">
        <is>
          <t>02.914.270/0001-33</t>
        </is>
      </c>
      <c r="G81" s="2" t="inlineStr">
        <is>
          <t>01º de janeiro de
2025</t>
        </is>
      </c>
      <c r="H81" s="2" t="inlineStr">
        <is>
          <t>31 de dezembro de 2026</t>
        </is>
      </c>
      <c r="I81" s="2" t="inlineStr">
        <is>
          <t>01º de janeiro de
2025</t>
        </is>
      </c>
      <c r="J81" s="2" t="inlineStr"/>
      <c r="K81" s="2" t="inlineStr">
        <is>
          <t>A) Condutores de carreta, treminhão e bitrem: R$ 2.756,12
B) Condutores de truck e de ônibus: R$ 2.269,38
C) Condutores de veículos toco: R$ 2.151,98
D) Condutores de outros veículos,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R$ 2.038,85
E) Condutores de veíc. c/ cap. de até 1 tonelada e motociclistas: R$ 1.921,44
F) Ajudantes de motorista, entendidos estes os que, com exclusividade e em caráter permanente, auxiliam o motorista em cargas, descargas e manobras, com ele permanecendo durante o transporte em viajem: R$ 1.865,00</t>
        </is>
      </c>
      <c r="L81" s="2" t="inlineStr">
        <is>
          <t>CONTRIBUIÇÃO ASSISTENCIAL aqui tratada fica limitada a 1% (um porcento) mensal, calculado sobre</t>
        </is>
      </c>
      <c r="M81" s="2" t="inlineStr"/>
      <c r="N81" s="2" t="inlineStr">
        <is>
          <t>**Auxílio Creche**:
Auxílio Creche
**Plano de Saúde / Assistência Médica**:
PLANO DE SAÚDE As empresas que possuam mais de 100 empregados deverão manter plano de saúde que beneficie os empregados, sendo permitida a participação destes nos respectivos custos Auxílio Doença/Invalidez
**Seguro de Vida**:
Seguro de Vida
**PPR / Participação nos Lucros**:
participação nos lucros ou resultados.
**Diárias / Ressarcimento**:
diárias, serão remuneradas com o adicional de 100% (cem por cento), sem prejuízo do recebimento do próprio dia, a que o empregado já fizera jus, enquanto as excedentes serão pagas com o adicional de 150% (cento e cinquenta por cento). PARÁGRAFO SEGUNDO: Os sábados compensados não são considerados como “dias pontes compensados”. Descontos Salariais
**Adicional Noturno**: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
**Horas Extras**:
horas extraordinárias, nos termos desta Convenção Coletiva de Trabalho. C) Trocar essas horas por folga em outro dia, ou incluir essas horas em sistema de compensação anual de dias pontes, observados os requisitos legais. Intervalos para Descanso
**Descanso Semanal Remunerado**:
repouso semanal remunerado. PARÁGRAFO TERCEIRO: O cálculo das horas extras e do adicional noturno deverá ser procedido tendo como base, no mínimo, os valores dos pisos salariais acima especificados. Reajustes/Correções Salariais
**FGTS**: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O cálculo das horas extras e do adicional noturno deverá ser procedido tendo como base...</t>
        </is>
      </c>
      <c r="O81" s="2" t="inlineStr">
        <is>
          <t>Compensação de Jornada</t>
        </is>
      </c>
      <c r="P81" s="2" t="inlineStr"/>
      <c r="Q81" s="2" t="inlineStr">
        <is>
          <t>penalidade no valor de 2% (dois por cento) do</t>
        </is>
      </c>
    </row>
    <row r="82">
      <c r="A82" s="2" t="n">
        <v>81</v>
      </c>
      <c r="B82" s="2" t="inlineStr">
        <is>
          <t>18-CCT-SINDICATO DOS TRABALHADORES EM TRANSPORTES RODOVIARIOS DE CASCAVEL-01-01-2026.pdf</t>
        </is>
      </c>
      <c r="C82" s="2" t="inlineStr">
        <is>
          <t>FEDERACAO DOS TRABALHADORES EM TRANSP RODOV DO EST PR</t>
        </is>
      </c>
      <c r="D82" s="2" t="inlineStr"/>
      <c r="E82" s="2" t="inlineStr">
        <is>
          <t>81.455.248/0001-49</t>
        </is>
      </c>
      <c r="F82" s="2" t="inlineStr">
        <is>
          <t>80.251.929/0001-22</t>
        </is>
      </c>
      <c r="G82" s="2" t="inlineStr">
        <is>
          <t>01º de janeiro de
2026</t>
        </is>
      </c>
      <c r="H82" s="2" t="inlineStr">
        <is>
          <t>31 de dezembro de 2027</t>
        </is>
      </c>
      <c r="I82" s="2" t="inlineStr">
        <is>
          <t>01º de janeiro de
2026</t>
        </is>
      </c>
      <c r="J82" s="2" t="inlineStr">
        <is>
          <t>7,5%</t>
        </is>
      </c>
      <c r="K82" s="2" t="inlineStr"/>
      <c r="L82" s="2" t="inlineStr">
        <is>
          <t>CONTRIBUIÇÃO ASSISTENCIAL aqui tratada fica limitada a 1% (um porcento) mensal, calculado</t>
        </is>
      </c>
      <c r="M82" s="2" t="inlineStr"/>
      <c r="N82"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82" s="2" t="inlineStr"/>
      <c r="P82" s="2" t="inlineStr">
        <is>
          <t>aviso prévio indenizado, ficando o empregador obrigado a comprovar o pagamento.</t>
        </is>
      </c>
      <c r="Q82" s="2" t="inlineStr"/>
    </row>
    <row r="83">
      <c r="A83" s="2" t="n">
        <v>82</v>
      </c>
      <c r="B83" s="2" t="inlineStr">
        <is>
          <t>18-CCT-SINDICATO DOS TRABALHADORES EM TRANSPORTES RODOVIARIOS DE CASCAVEL-01-02-2026.pdf</t>
        </is>
      </c>
      <c r="C83" s="2" t="inlineStr">
        <is>
          <t>FEDERACAO DOS TRABALHADORES EM TRANSP RODOV DO EST PR</t>
        </is>
      </c>
      <c r="D83" s="2" t="inlineStr"/>
      <c r="E83" s="2" t="inlineStr">
        <is>
          <t>81.455.248/0001-49</t>
        </is>
      </c>
      <c r="F83" s="2" t="inlineStr">
        <is>
          <t>80.060.635/0001-13</t>
        </is>
      </c>
      <c r="G83" s="2" t="inlineStr">
        <is>
          <t>01º de fevereiro de
2026</t>
        </is>
      </c>
      <c r="H83" s="2" t="inlineStr">
        <is>
          <t>31 de janeiro de 2028</t>
        </is>
      </c>
      <c r="I83" s="2" t="inlineStr">
        <is>
          <t>01º de fevereiro de
2026</t>
        </is>
      </c>
      <c r="J83" s="2" t="inlineStr">
        <is>
          <t>3,5%</t>
        </is>
      </c>
      <c r="K83" s="2" t="inlineStr"/>
      <c r="L83" s="2" t="inlineStr">
        <is>
          <t>CONTRIBUIÇÃO ASSISTENCIAL aqui tratada fica limitada a 1% (um porcento) mensal, calculado</t>
        </is>
      </c>
      <c r="M83" s="2" t="inlineStr"/>
      <c r="N83"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83" s="2" t="inlineStr">
        <is>
          <t>Compensação de Jornada</t>
        </is>
      </c>
      <c r="P83" s="2" t="inlineStr"/>
      <c r="Q83" s="2" t="inlineStr">
        <is>
          <t>penalidade no valor de 10% (dez por cento) do</t>
        </is>
      </c>
    </row>
    <row r="84">
      <c r="A84" s="2" t="n">
        <v>83</v>
      </c>
      <c r="B84" s="2" t="inlineStr">
        <is>
          <t>18-CCT-SINDICATO DOS TRABALHADORES EM TRANSPORTES RODOVIARIOS DE CASCAVEL-01-03-2025.pdf</t>
        </is>
      </c>
      <c r="C84" s="2" t="inlineStr">
        <is>
          <t>FEDERACAO DOS TRABALHADORES EM TRANSP RODOV DO EST PR</t>
        </is>
      </c>
      <c r="D84" s="2" t="inlineStr"/>
      <c r="E84" s="2" t="inlineStr">
        <is>
          <t>81.455.248/0001-49</t>
        </is>
      </c>
      <c r="F84" s="2" t="inlineStr">
        <is>
          <t>10.612.279/0001-18</t>
        </is>
      </c>
      <c r="G84" s="2" t="inlineStr">
        <is>
          <t>01º de março de
2025</t>
        </is>
      </c>
      <c r="H84" s="2" t="inlineStr">
        <is>
          <t>28 de fevereiro de 2027</t>
        </is>
      </c>
      <c r="I84" s="2" t="inlineStr">
        <is>
          <t>01º de março de
2025</t>
        </is>
      </c>
      <c r="J84" s="2" t="inlineStr"/>
      <c r="K84" s="2" t="inlineStr"/>
      <c r="L84" s="2" t="inlineStr">
        <is>
          <t>CONTRIBUIÇÃO ASSISTENCIAL aqui tratada fica limitada a 1% (um porcento) mensal, calculado</t>
        </is>
      </c>
      <c r="M84" s="2" t="inlineStr"/>
      <c r="N84"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84" s="2" t="inlineStr">
        <is>
          <t>jornada de trabalho, dos empregados acolhidos pelo presente instrumento, será de 44 horas semanais, | banco de horas”, entre os empregados e a empresa interessados.</t>
        </is>
      </c>
      <c r="P84" s="2" t="inlineStr">
        <is>
          <t>aviso prévio indenizado, este ocorrerá pelos 30 (trinta) primeiros dias, sendo que o</t>
        </is>
      </c>
      <c r="Q84" s="2" t="inlineStr">
        <is>
          <t>penalidade no valor de 10% (dez por cento) do</t>
        </is>
      </c>
    </row>
    <row r="85">
      <c r="A85" s="2" t="n">
        <v>84</v>
      </c>
      <c r="B85" s="2" t="inlineStr">
        <is>
          <t>18-CCT-SINDICATO DOS TRABALHADORES EM TRANSPORTES RODOVIARIOS DE CASCAVEL-01-05-2025.pdf</t>
        </is>
      </c>
      <c r="C85" s="2" t="inlineStr">
        <is>
          <t>FEDERACAO DOS TRABALHADORES EM TRANSP RODOV DO EST PR</t>
        </is>
      </c>
      <c r="D85" s="2" t="inlineStr"/>
      <c r="E85" s="2" t="inlineStr">
        <is>
          <t>81.455.248/0001-49</t>
        </is>
      </c>
      <c r="F85" s="2" t="inlineStr">
        <is>
          <t>80.295.199/0001-61</t>
        </is>
      </c>
      <c r="G85" s="2" t="inlineStr">
        <is>
          <t>01º de maio de 2025</t>
        </is>
      </c>
      <c r="H85" s="2" t="inlineStr">
        <is>
          <t>30 de abril de 2027</t>
        </is>
      </c>
      <c r="I85" s="2" t="inlineStr">
        <is>
          <t>01º de maio de 2025</t>
        </is>
      </c>
      <c r="J85" s="2" t="inlineStr">
        <is>
          <t>7,5%</t>
        </is>
      </c>
      <c r="K85" s="2" t="inlineStr"/>
      <c r="L85" s="2" t="inlineStr"/>
      <c r="M85" s="2" t="inlineStr"/>
      <c r="N85" s="2" t="inlineStr">
        <is>
          <t>**Plano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 A empresa aceitará os atestados médicos e odontológicos fornecidos pelos profissionais conveniados com os sindicatos dos trabalhadores, no âmbito territorial de cada um, Sistema Único de Saúde SUS ou com a previdência social, com o objetivo de justificar faltas ao serviço. Relações Sindicais Contribuições Sindicais
**Seguro de Vida**:
Seguro de Vida
**Diárias / Ressarcimento**:
diárias, mediante ajuste escrito entre empregado e empregador. O adicional de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
**Adicional Noturno**:
Adicional Noturno
**Horas Extras**: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serviço externo (art. 74, parágrafo 3º da CLT), aplicável para cada localidade (...
**Descanso Semanal Remunerado**:
Descanso Semanal
**FGTS**:
FGTS. Gratificações, Adicionais, Auxílios e Outros Adicional de Hora-Extra</t>
        </is>
      </c>
      <c r="O85" s="2" t="inlineStr">
        <is>
          <t>jornada de trabalho dos integrantes da categoria profissional será a decorrente da Lei, ou seja, de 44 horas | banco de horas”, mediante</t>
        </is>
      </c>
      <c r="P85" s="2" t="inlineStr"/>
      <c r="Q85" s="2" t="inlineStr"/>
    </row>
    <row r="86">
      <c r="A86" s="2" t="n">
        <v>85</v>
      </c>
      <c r="B86" s="2" t="inlineStr">
        <is>
          <t>18-CCT-SINDICATO DOS TRABALHADORES EM TRANSPORTES RODOVIARIOS DE CASCAVEL-01-05-2026.pdf</t>
        </is>
      </c>
      <c r="C86" s="2" t="inlineStr">
        <is>
          <t>SINDICATO DOS TRABALHADORES EM TRANSPORTES RODOVIARIOS DE CASCAVEL</t>
        </is>
      </c>
      <c r="D86" s="2" t="inlineStr">
        <is>
          <t>SINTROPAR-SINDICATO DAS EMPRESAS DE TRANSPORTES DE CARGAS E LOGISTICA DO OESTE DO PARANA</t>
        </is>
      </c>
      <c r="E86" s="2" t="inlineStr">
        <is>
          <t>77.841.682/0001-90</t>
        </is>
      </c>
      <c r="F86" s="2" t="inlineStr">
        <is>
          <t>81.267.387/0001-49</t>
        </is>
      </c>
      <c r="G86" s="2" t="inlineStr">
        <is>
          <t>01º de maio de 2026</t>
        </is>
      </c>
      <c r="H86" s="2" t="inlineStr">
        <is>
          <t>30 de abril de 2027</t>
        </is>
      </c>
      <c r="I86" s="2" t="inlineStr">
        <is>
          <t>01º de maio de 2026</t>
        </is>
      </c>
      <c r="J86" s="2" t="inlineStr">
        <is>
          <t>4,11%</t>
        </is>
      </c>
      <c r="K86" s="2" t="inlineStr"/>
      <c r="L86" s="2" t="inlineStr"/>
      <c r="M86" s="2" t="inlineStr">
        <is>
          <t>Contribuição Patronal, face a Assembleia Geral Extraordinária, que aprovou um reajuste de 4,11% (quatro vírgula onze por cento - INPC acumulado, últimos 12 meses) sobre valores das mensalidades dos Associados, onde as empresas para a vigência julho/2026 a junho/2027 em cada faixa de enquadramento, e</t>
        </is>
      </c>
      <c r="N86" s="2" t="inlineStr">
        <is>
          <t>**Auxílio Transporte / Vale-transporte**:
Auxílio Transporte
**Plano de Saúde / Assistência Médica**: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trabalhista. § 2° Não geram efeitos trabal...
**Seguro de Vida**:
seguro de vida. Seguro de Vida
**Bolsa / Estudo**:
bolsa de estudo, cestas básicas,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
**Diárias / Ressarcimento**:
diárias de viagem. § 2° Assegura-se o repouso remunerado ao empregado que chegar atrasado, quando permitido seu ingresso pelo empregador, facultando-se a empresa exigir a compensação das horas em atraso. Descontos Salariais
**Descanso Semanal Remunerado**:
REPOUSO SEMANAL REMUNERADO - CONSTITUIÇÃO FEDERAL ART. 7º, INC Aos trabalhadores comissionados deverá ser pago, em dístico especifico na folha de pagamento, os valores referentes ao RSR (repouso semanal remunerado), e, dado o caráter salarial da verba, a mesma incidirá no salário para todos os efeitos de lei. § 1° O cálculo do RSR do trabalhador comissionado será feito dividindo-se o produto mensa...
**Abono de Faltas**:
abonarão até 02 (duas) faltas por ano, aos dirigentes sindicais, para exercício de seu mandato, a requerimento da entidade sindical obreira, a qual fará o pedido de liberação com no mínimo 10 (dez) dias de antecedência, facultando-se a empresa solicitar a entidade sindical a comprovação da participação do dirigente sindical no evento. Contribuições Sindicais</t>
        </is>
      </c>
      <c r="O86" s="2" t="inlineStr">
        <is>
          <t>COMPENSAÇÃO DE JORNADA DE TRABALHO: Fica estabelecido que a critério das empresas,</t>
        </is>
      </c>
      <c r="P86" s="2" t="inlineStr"/>
      <c r="Q86" s="2" t="inlineStr"/>
    </row>
    <row r="87">
      <c r="A87" s="2" t="n">
        <v>86</v>
      </c>
      <c r="B87" s="2" t="inlineStr">
        <is>
          <t>18-CCT-SINDICATO DOS TRABALHADORES EM TRANSPORTES RODOVIARIOS DE CASCAVEL-01-06-2025.pdf</t>
        </is>
      </c>
      <c r="C87" s="2" t="inlineStr">
        <is>
          <t>FEDERACAO DOS TRABALHADORES EM TRANSP RODOV DO EST PR</t>
        </is>
      </c>
      <c r="D87" s="2" t="inlineStr"/>
      <c r="E87" s="2" t="inlineStr">
        <is>
          <t>81.455.248/0001-49</t>
        </is>
      </c>
      <c r="F87" s="2" t="inlineStr">
        <is>
          <t>84.782.846/0001-10</t>
        </is>
      </c>
      <c r="G87" s="2" t="inlineStr">
        <is>
          <t>01º de junho de
2025</t>
        </is>
      </c>
      <c r="H87" s="2" t="inlineStr">
        <is>
          <t>30 de maio de 2027</t>
        </is>
      </c>
      <c r="I87" s="2" t="inlineStr">
        <is>
          <t>01º de junho de
2025</t>
        </is>
      </c>
      <c r="J87" s="2" t="inlineStr">
        <is>
          <t>5,20%</t>
        </is>
      </c>
      <c r="K87" s="2" t="inlineStr"/>
      <c r="L87" s="2" t="inlineStr">
        <is>
          <t>CONTRIBUIÇÃO ASSISTENCIAL aqui tratada fica limitada a 1% (um porcento) mensal, calculado</t>
        </is>
      </c>
      <c r="M87" s="2" t="inlineStr"/>
      <c r="N87"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87" s="2" t="inlineStr">
        <is>
          <t>Compensação de Jornada</t>
        </is>
      </c>
      <c r="P87" s="2" t="inlineStr"/>
      <c r="Q87" s="2" t="inlineStr"/>
    </row>
    <row r="88">
      <c r="A88" s="2" t="n">
        <v>87</v>
      </c>
      <c r="B88" s="2" t="inlineStr">
        <is>
          <t>18-CCT-SINDICATO DOS TRABALHADORES EM TRANSPORTES RODOVIARIOS DE CASCAVEL-01-07-2024.pdf</t>
        </is>
      </c>
      <c r="C88" s="2" t="inlineStr">
        <is>
          <t>SINDICATO DOS MOTORISTAS, CONDUTORES DE VEICULOS RODOVIARIOS URBANOS E EM GERAL, TRABALHADORES EM TRANSPORTES RODOVIARIOS DE DOIS VIZINHOS - SINTRODOV</t>
        </is>
      </c>
      <c r="D88" s="2" t="inlineStr">
        <is>
          <t>GANASSINI; SIND DOS MOTORISTAS, CONDUT. DE VEIC. RODOV URBANOS E EM GERAL, TRAB.TRANSP. ROD. PBCO</t>
        </is>
      </c>
      <c r="E88" s="2" t="inlineStr">
        <is>
          <t>78.687.431/0001-65</t>
        </is>
      </c>
      <c r="F88" s="2" t="inlineStr">
        <is>
          <t>80.869.894/0001-90</t>
        </is>
      </c>
      <c r="G88" s="2" t="inlineStr">
        <is>
          <t>01º de julho de 2024</t>
        </is>
      </c>
      <c r="H88" s="2" t="inlineStr">
        <is>
          <t>30 de junho de 2026</t>
        </is>
      </c>
      <c r="I88" s="2" t="inlineStr">
        <is>
          <t>01º de julho de 2024</t>
        </is>
      </c>
      <c r="J88" s="2" t="inlineStr">
        <is>
          <t>4,50%</t>
        </is>
      </c>
      <c r="K88" s="2" t="inlineStr"/>
      <c r="L88"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88" s="2" t="inlineStr"/>
      <c r="N88"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88" s="2" t="inlineStr">
        <is>
          <t>compensação de
jornada.</t>
        </is>
      </c>
      <c r="P88" s="2" t="inlineStr"/>
      <c r="Q88" s="2" t="inlineStr"/>
    </row>
    <row r="89">
      <c r="A89" s="2" t="n">
        <v>88</v>
      </c>
      <c r="B89" s="2" t="inlineStr">
        <is>
          <t>18-CCT-SINDICATO DOS TRABALHADORES EM TRANSPORTES RODOVIARIOS DE CASCAVEL-01-08-2025.pdf</t>
        </is>
      </c>
      <c r="C89" s="2" t="inlineStr">
        <is>
          <t>FEDERACAO DOS TRABALHADORES EM TRANSP RODOV DO EST PR</t>
        </is>
      </c>
      <c r="D89" s="2" t="inlineStr"/>
      <c r="E89" s="2" t="inlineStr">
        <is>
          <t>81.455.248/0001-49</t>
        </is>
      </c>
      <c r="F89" s="2" t="inlineStr">
        <is>
          <t>84.782.846/0001-10</t>
        </is>
      </c>
      <c r="G89" s="2" t="inlineStr">
        <is>
          <t>01º de agosto de
2025</t>
        </is>
      </c>
      <c r="H89" s="2" t="inlineStr">
        <is>
          <t>31 de julho de 2027</t>
        </is>
      </c>
      <c r="I89" s="2" t="inlineStr">
        <is>
          <t>01º de agosto de
2025</t>
        </is>
      </c>
      <c r="J89" s="2" t="inlineStr">
        <is>
          <t>5,13%</t>
        </is>
      </c>
      <c r="K89" s="2" t="inlineStr"/>
      <c r="L89" s="2"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89" s="2" t="inlineStr"/>
      <c r="N89" s="2"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89" s="2" t="inlineStr">
        <is>
          <t>banco de horas.</t>
        </is>
      </c>
      <c r="P89" s="2" t="inlineStr"/>
      <c r="Q89" s="2" t="inlineStr"/>
    </row>
    <row r="90">
      <c r="A90" s="2" t="n">
        <v>89</v>
      </c>
      <c r="B90" s="2" t="inlineStr">
        <is>
          <t>18-CCT-SINDICATO DOS TRABALHADORES EM TRANSPORTES RODOVIARIOS DE CASCAVEL-01-09-2025.pdf</t>
        </is>
      </c>
      <c r="C90" s="2" t="inlineStr">
        <is>
          <t>FEDERACAO DOS TRABALHADORES EM TRANSP RODOV DO EST PR</t>
        </is>
      </c>
      <c r="D90" s="2" t="inlineStr"/>
      <c r="E90" s="2" t="inlineStr">
        <is>
          <t>81.455.248/0001-49</t>
        </is>
      </c>
      <c r="F90" s="2" t="inlineStr">
        <is>
          <t>76.602.366/0001-00</t>
        </is>
      </c>
      <c r="G90" s="2" t="inlineStr">
        <is>
          <t>01º de setembro de
2025</t>
        </is>
      </c>
      <c r="H90" s="2" t="inlineStr">
        <is>
          <t>31 de agosto de 2027</t>
        </is>
      </c>
      <c r="I90" s="2" t="inlineStr">
        <is>
          <t>01º de setembro de
2025</t>
        </is>
      </c>
      <c r="J90" s="2" t="inlineStr">
        <is>
          <t>5,05%</t>
        </is>
      </c>
      <c r="K90" s="2" t="inlineStr"/>
      <c r="L90" s="2" t="inlineStr">
        <is>
          <t>CONTRIBUIÇÃO ASSISTENCIAL aqui tratada fica limitada a 1% (um porcento) mensal, calculado</t>
        </is>
      </c>
      <c r="M90" s="2" t="inlineStr"/>
      <c r="N90" s="2" t="inlineStr">
        <is>
          <t>**Refeição / Alimentação (VA/VR)**: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
**PPR / Participação nos Lucros**:
Participação nos Lucros e/ou Resultados
**Diárias / Ressarcimento**:
diárias, devidamente comprovadas por documentos hábeis, quando o deslocamento assim o exigir, nos seguintes limites: R$33,00 - (trinta e três reais), para almoço; R$33,00 - (trinta e três reais), para jantar; R$14,50 - (quatorze reais e cinquenta centavos), para café. R$14,50 - (quatorze reais e cinquenta centavos), para café. Parágrafo Primeiro: A empresa deverá reembolsar as despesas desta
**Adicional de Periculosidade**:
Adicional de Periculosidade
**Adicional Noturno**:
Adicional Noturno
**Horas Extras**:
hora extraordinária será de 50% (cinqüenta por cento) sobre a hora normal. Parágrafo Único: Referido adicional será de 100% (cem por cento) nos domingos e feriados. Adicional Noturno
**Descanso Semanal Remunerado**:
descanso semanal de 35 (trinta e cinco) horas. As horas consideradas extraordinárias serão pagas com acréscimo de 50%. À hora de trabalho noturno aplica-se o disposto no art. 73 desta Consolidação. O excesso de horas de trabalho realizado em um dia poderá ser compensado, pela correspondente diminuição em outro dia, exclusivamente, sendo nula a compensação semanal e/ou mensal, salvo acordo coletivo...
**FGTS**:
FGTS, obrigatoriamente.</t>
        </is>
      </c>
      <c r="O90" s="2" t="inlineStr">
        <is>
          <t>Compensação de Jornada</t>
        </is>
      </c>
      <c r="P90" s="2" t="inlineStr"/>
      <c r="Q90" s="2" t="inlineStr">
        <is>
          <t>penalidades cabíveis pela legislação vigente, conforme a resolução ANP - 26/15.</t>
        </is>
      </c>
    </row>
    <row r="91">
      <c r="A91" s="2" t="n">
        <v>90</v>
      </c>
      <c r="B91" s="2" t="inlineStr">
        <is>
          <t>18-CCT-SINDICATO DOS TRABALHADORES EM TRANSPORTES RODOVIARIOS DE CASCAVEL-01-10-2025.pdf</t>
        </is>
      </c>
      <c r="C91" s="2" t="inlineStr">
        <is>
          <t>FEDERACAO DOS TRABALHADORES EM TRANSP RODOV DO EST PR</t>
        </is>
      </c>
      <c r="D91" s="2" t="inlineStr"/>
      <c r="E91" s="2" t="inlineStr">
        <is>
          <t>81.455.248/0001-49</t>
        </is>
      </c>
      <c r="F91" s="2" t="inlineStr">
        <is>
          <t>81.878.845/0001-86</t>
        </is>
      </c>
      <c r="G91" s="2" t="inlineStr">
        <is>
          <t>01º de outubro de
2025</t>
        </is>
      </c>
      <c r="H91" s="2" t="inlineStr">
        <is>
          <t>30 de setembro de 2026</t>
        </is>
      </c>
      <c r="I91" s="2" t="inlineStr">
        <is>
          <t>01º de outubro de
2025</t>
        </is>
      </c>
      <c r="J91" s="2" t="inlineStr">
        <is>
          <t>5,76%</t>
        </is>
      </c>
      <c r="K91" s="2" t="inlineStr"/>
      <c r="L91" s="2" t="inlineStr">
        <is>
          <t>CONTRIBUIÇÃO ASSISTENCIAL aqui tratada fica limitada a 1% (um porcento) mensal, calculado</t>
        </is>
      </c>
      <c r="M91" s="2" t="inlineStr"/>
      <c r="N91"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91" s="2" t="inlineStr">
        <is>
          <t>jornada de trabalho 12x36 horas fica | banco de horas, através de tíquete, cartão ou pecúnia (dinheiro). As Entidades que concedem vale</t>
        </is>
      </c>
      <c r="P91" s="2" t="inlineStr"/>
      <c r="Q91" s="2" t="inlineStr"/>
    </row>
    <row r="92">
      <c r="A92" s="2" t="n">
        <v>91</v>
      </c>
      <c r="B92" s="2" t="inlineStr">
        <is>
          <t>260-CCT-SINDICATO DOS EMPREGADOS EM EMPRESAS DE ASSEIO E CONSERVACAO, LIMPEZA URBANA, LIMPEZA PUBLICA E EM GERAL, AMBIENTAL, AREAS VERDES, ZELADORIA E SERVICO - FEDERACAO DOS EMPR EMPRESAS ASSEIO CONSERV EST PARANA e Outr-01-02-2025.pdf</t>
        </is>
      </c>
      <c r="C92" s="2" t="inlineStr">
        <is>
          <t>FEDERACAO DOS EMPR EMPRESAS ASSEIO CONSERV EST PARANA</t>
        </is>
      </c>
      <c r="D92" s="2" t="inlineStr"/>
      <c r="E92" s="2" t="inlineStr">
        <is>
          <t>68.801.745/0001-93</t>
        </is>
      </c>
      <c r="F92" s="2" t="inlineStr">
        <is>
          <t>75.954.354/0001-74</t>
        </is>
      </c>
      <c r="G92" s="2" t="inlineStr">
        <is>
          <t>01º de fevereiro de
2025</t>
        </is>
      </c>
      <c r="H92" s="2" t="inlineStr">
        <is>
          <t>31 de janeiro de 2027</t>
        </is>
      </c>
      <c r="I92" s="2" t="inlineStr">
        <is>
          <t>01º de fevereiro de
2025</t>
        </is>
      </c>
      <c r="J92" s="2" t="inlineStr">
        <is>
          <t>9,64%</t>
        </is>
      </c>
      <c r="K92" s="2" t="inlineStr">
        <is>
          <t>A) de 03 a 10 empregados – salário de ingresso equivalente a: R$ 2.034,00
B) de 11 a 20 empregados – salário de ingresso equivalente a: R$ 2.116,00
C) acima de 20 empregados - salário de ingresso equivalente a: R$ 2.232,00</t>
        </is>
      </c>
      <c r="L92" s="2" t="inlineStr"/>
      <c r="M92" s="2" t="inlineStr"/>
      <c r="N92" s="2"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2" s="2" t="inlineStr">
        <is>
          <t>banco de horas”, com duração anual.</t>
        </is>
      </c>
      <c r="P92" s="2" t="inlineStr">
        <is>
          <t>aviso prévio em tempo, quando superior a 30 dias, na forma da | aviso prévio indenizado.</t>
        </is>
      </c>
      <c r="Q92" s="2" t="inlineStr"/>
    </row>
    <row r="93">
      <c r="A93" s="2" t="n">
        <v>92</v>
      </c>
      <c r="B93" s="2" t="inlineStr">
        <is>
          <t>260-CCT-SINDICATO DOS EMPREGADOS EM EMPRESAS DE ASSEIO E CONSERVACAO, LIMPEZA URBANA, LIMPEZA PUBLICA E EM GERAL, AMBIENTAL, AREAS VERDES, ZELADORIA E SERVICO - FEDERACAO DOS EMPR EMPRESAS ASSEIO CONSERV EST PARANA e Outr-01-02-2026.pdf</t>
        </is>
      </c>
      <c r="C93" s="2" t="inlineStr">
        <is>
          <t>FEDERACAO DOS EMPR EMPRESAS ASSEIO CONSERV EST PARANA</t>
        </is>
      </c>
      <c r="D93" s="2" t="inlineStr"/>
      <c r="E93" s="2" t="inlineStr">
        <is>
          <t>68.801.745/0001-93</t>
        </is>
      </c>
      <c r="F93" s="2" t="inlineStr">
        <is>
          <t>75.954.354/0001-74</t>
        </is>
      </c>
      <c r="G93" s="2" t="inlineStr">
        <is>
          <t>01º de fevereiro de
2026</t>
        </is>
      </c>
      <c r="H93" s="2" t="inlineStr">
        <is>
          <t>31 de janeiro de 2028</t>
        </is>
      </c>
      <c r="I93" s="2" t="inlineStr">
        <is>
          <t>01º de fevereiro de
2026</t>
        </is>
      </c>
      <c r="J93" s="2" t="inlineStr">
        <is>
          <t>7,71%</t>
        </is>
      </c>
      <c r="K93" s="2" t="inlineStr">
        <is>
          <t>A) de 03 a 10 empregados – salário de ingresso equivalente a: R$ 2.191,00
B) de 11 a 20 empregados – salário de ingresso equivalente a: R$ 2.279,00
C) acima de 20 empregados - salário de ingresso equivalente a: R$ 2.404,00</t>
        </is>
      </c>
      <c r="L93" s="2" t="inlineStr"/>
      <c r="M93" s="2" t="inlineStr"/>
      <c r="N93" s="2"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3" s="2" t="inlineStr">
        <is>
          <t>banco de horas”, com duração anual.</t>
        </is>
      </c>
      <c r="P93" s="2" t="inlineStr">
        <is>
          <t>aviso prévio em tempo, quando superior a 30 dias, na forma da | aviso prévio indenizado.</t>
        </is>
      </c>
      <c r="Q93" s="2" t="inlineStr"/>
    </row>
    <row r="94">
      <c r="A94" s="2" t="n">
        <v>93</v>
      </c>
      <c r="B94" s="2" t="inlineStr">
        <is>
          <t>260-CCT-SINDICATO DOS EMPREGADOS EM EMPRESAS DE ASSEIO E CONSERVACAO, LIMPEZA URBANA, LIMPEZA PUBLICA E EM GERAL, AMBIENTAL, AREAS VERDES, ZELADORIA E SERVICO-01-02-2025.pdf</t>
        </is>
      </c>
      <c r="C94" s="2" t="inlineStr">
        <is>
          <t>FEDERACAO DOS EMPR EMPRESAS ASSEIO CONSERV EST PARANA</t>
        </is>
      </c>
      <c r="D94" s="2" t="inlineStr"/>
      <c r="E94" s="2" t="inlineStr">
        <is>
          <t>68.801.745/0001-93</t>
        </is>
      </c>
      <c r="F94" s="2" t="inlineStr">
        <is>
          <t>75.954.354/0001-74</t>
        </is>
      </c>
      <c r="G94" s="2" t="inlineStr">
        <is>
          <t>01º de fevereiro de
2025</t>
        </is>
      </c>
      <c r="H94" s="2" t="inlineStr">
        <is>
          <t>31 de janeiro de 2027</t>
        </is>
      </c>
      <c r="I94" s="2" t="inlineStr">
        <is>
          <t>01º de fevereiro de
2025</t>
        </is>
      </c>
      <c r="J94" s="2" t="inlineStr">
        <is>
          <t>9,64%</t>
        </is>
      </c>
      <c r="K94" s="2" t="inlineStr">
        <is>
          <t>A) de 03 a 10 empregados – salário de ingresso equivalente a: R$ 2.034,00
B) de 11 a 20 empregados – salário de ingresso equivalente a: R$ 2.116,00
C) acima de 20 empregados - salário de ingresso equivalente a: R$ 2.232,00</t>
        </is>
      </c>
      <c r="L94" s="2" t="inlineStr"/>
      <c r="M94" s="2" t="inlineStr"/>
      <c r="N94" s="2" t="inlineStr">
        <is>
          <t>**Auxílio Transporte / Vale-transporte**:
Auxílio Transporte
**Refeição / Alimentação (VA/VR)**:
VALE–ALIMENTAÇÃO VIGÊNCIA DA
**Auxílio Creche**:
AUXÍLIO CRECHE VIGÊNCIA DA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Periculosidade**: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4" s="2" t="inlineStr">
        <is>
          <t>banco de horas”, com duração anual.</t>
        </is>
      </c>
      <c r="P94" s="2" t="inlineStr">
        <is>
          <t>aviso prévio em tempo, quando superior a 30 dias, na forma da | aviso prévio indenizado.</t>
        </is>
      </c>
      <c r="Q94" s="2" t="inlineStr"/>
    </row>
    <row r="95">
      <c r="A95" s="2" t="n">
        <v>94</v>
      </c>
      <c r="B95" s="2" t="inlineStr">
        <is>
          <t>260-CCT-SINDICATO DOS EMPREGADOS EM EMPRESAS DE ASSEIO E CONSERVACAO, LIMPEZA URBANA, LIMPEZA PUBLICA E EM GERAL, AMBIENTAL, AREAS VERDES, ZELADORIA E SERVICO-01-02-2026.pdf</t>
        </is>
      </c>
      <c r="C95" s="2" t="inlineStr">
        <is>
          <t>FEDERACAO DOS EMPR EMPRESAS ASSEIO CONSERV EST PARANA</t>
        </is>
      </c>
      <c r="D95" s="2" t="inlineStr"/>
      <c r="E95" s="2" t="inlineStr">
        <is>
          <t>68.801.745/0001-93</t>
        </is>
      </c>
      <c r="F95" s="2" t="inlineStr">
        <is>
          <t>75.954.354/0001-74</t>
        </is>
      </c>
      <c r="G95" s="2" t="inlineStr">
        <is>
          <t>01º de fevereiro de
2026</t>
        </is>
      </c>
      <c r="H95" s="2" t="inlineStr">
        <is>
          <t>31 de janeiro de 2028</t>
        </is>
      </c>
      <c r="I95" s="2" t="inlineStr">
        <is>
          <t>01º de fevereiro de
2026</t>
        </is>
      </c>
      <c r="J95" s="2" t="inlineStr">
        <is>
          <t>7,71%</t>
        </is>
      </c>
      <c r="K95" s="2" t="inlineStr">
        <is>
          <t>A) de 03 a 10 empregados – salário de ingresso equivalente a: R$ 2.191,00
B) de 11 a 20 empregados – salário de ingresso equivalente a: R$ 2.279,00
C) acima de 20 empregados - salário de ingresso equivalente a: R$ 2.404,00</t>
        </is>
      </c>
      <c r="L95" s="2" t="inlineStr"/>
      <c r="M95" s="2" t="inlineStr"/>
      <c r="N95" s="2" t="inlineStr">
        <is>
          <t>**Auxílio Transporte / Vale-transporte**:
Auxílio Transporte
**Refeição / Alimentação (VA/VR)**:
VALE–ALIMENTAÇÃO As empresas concederão a todos os seus empregados – exceto aos lotados em postos de serviços que concedam alimentação no local e aos empregados que não cumpram carga semanal superior a 20 horas - conforme regras específicas adiante indicadas, o vale- alimentação (mercado) no valor de R$ 900.00 (novecentos reais) mensais; PARÁGRAFO PRIMEIRO – A partir de 01.02.2026 o vale alimentaç...
**Auxílio Creche**:
AUXÍLIO CRECHE A partir de 01.02.2026,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
**Plano de Saúde / Assistência Médica**: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**Seguro de Vida**: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**Bolsa / Estudo**:
vestibulandos serão abonadas quando comprovarem a prestação de exames na cidade em que trabalhem ou residam. Saúde e Segurança do Trabalhador Condições de Ambiente de Trabalho
**Diárias / Ressarcimento**:
diárias serão pagas com o adicional de 50% (cinquenta por cento) e as demais com o adicional de 100% (cem por cento). Outros Adicionais
**Adicional de Insalubridade**: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
**Abono de Faltas**:
ABONO DE FALTAS As faltas dos empregados vestibulandos serão abonadas quando comprovarem a prestação de exames na cidade em que trabalhem ou residam. Saúde e Segurança do Trabalhador Condições de Ambiente de Trabalho
**FGTS**: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t>
        </is>
      </c>
      <c r="O95" s="2" t="inlineStr">
        <is>
          <t>banco de horas”, com duração anual.</t>
        </is>
      </c>
      <c r="P95" s="2" t="inlineStr">
        <is>
          <t>aviso prévio em tempo, quando superior a 30 dias, na forma da | aviso prévio indenizado.</t>
        </is>
      </c>
      <c r="Q95" s="2" t="inlineStr"/>
    </row>
    <row r="96">
      <c r="A96" s="2" t="n">
        <v>95</v>
      </c>
      <c r="B96" s="2" t="inlineStr">
        <is>
          <t>260-CCT-SINDICATO DOS EMPREGADOS EM EMPRESAS DE ASSEIO E CONSERVACAO, LIMPEZA URBANA, LIMPEZA PUBLICA E EM GERAL, AMBIENTAL, AREAS VERDES, ZELADORIA E SERVICO-01-03-2026.pdf</t>
        </is>
      </c>
      <c r="C96" s="2" t="inlineStr">
        <is>
          <t>FEDERACAO DOS EMPR EMPRESAS ASSEIO CONSERV EST PARANA</t>
        </is>
      </c>
      <c r="D96" s="2" t="inlineStr"/>
      <c r="E96" s="2" t="inlineStr">
        <is>
          <t>68.801.745/0001-93</t>
        </is>
      </c>
      <c r="F96" s="2" t="inlineStr">
        <is>
          <t>02.977.757/0001-65</t>
        </is>
      </c>
      <c r="G96" s="2" t="inlineStr">
        <is>
          <t>01º de março de 2026</t>
        </is>
      </c>
      <c r="H96" s="2" t="inlineStr">
        <is>
          <t>28 de junho
de 2027</t>
        </is>
      </c>
      <c r="I96" s="2" t="inlineStr">
        <is>
          <t>01º de março de 2026</t>
        </is>
      </c>
      <c r="J96" s="2" t="inlineStr">
        <is>
          <t>7,71%</t>
        </is>
      </c>
      <c r="K96" s="2" t="inlineStr"/>
      <c r="L96" s="2" t="inlineStr">
        <is>
          <t>CONTRIBUIÇÃO ASSISTENCIAL PATRONAL, incidirá em 1,5% (um e</t>
        </is>
      </c>
      <c r="M96" s="2" t="inlineStr"/>
      <c r="N96" s="2" t="inlineStr">
        <is>
          <t>**Auxílio Transporte / Vale-transporte**:
Auxílio Transporte
**Refeição / Alimentação (VA/VR)**:
vale-refeição por dia trabalhado. Parágrafo décimo quarto: em caso de falta ao serviço, justificada ou não, a empresa fica autorizada a descontar o valor equivalente ao benefício concedido por dia trabalhado. Auxílio Transporte
**Plano de Saúde / Assistência Médica**:
plano de saúde aos seus empregados, desde que comprovem tal situação, ficam isentas do pagamento previsto no parágrafo primeiro, devendo comprovar um rol mínimo estabelecido pela ANS que seja mais benéfico ao trabalhador.
**Plano Odontológico**:
odontológico, o fundo de qualificação profissional e o benefício social familiar, instituídos nesta convenção coletiva de trabalho, cujos valores são integralmente recolhidos pelas empresas e que não admitem a co participação do empregado. Parágrafo quinto: proíbe-se o desconto no salário do empregado dos valores de cheques de clientes ou de terceiros não compensados ou sem fundos, recebidos em pa...
**Seguro de Vida**:
seguro de vida em grupo, mensalidade associativa, alimentação/refeição, empréstimos consignados, convênios com farmácias, supermercados e congêneres, telefonemas particulares e outros, desde que tais descontos sejam por eles autorizados. Parágrafo terceiro: a empresa deverá efetuar, quando notificada pela entidade laboral, o desconto das contribuições negociais previstas na convenção coletiva de t...
**Bolsa / Estudo**:
estudantes que comprovem a sua situação escolar, desde que expressem, por escrito, seu desinteresse pela citada prorrogação.
**Diárias / Ressarcimento**:
diárias e/ou 20 (vinte) horas semanais. Parágrafo quinto: a obrigação de pagamento pela empresa será mantida em caso de afastamento do(a) empregado(a) por motivo de doença ou acidente de trabalho, pelo prazo de 12 (doze) meses. Decorrido tal tempo, será facultada ao(à) empregado(a) a manutenção do benefício mediante pagamento direto ao respectivo instituto, ficando a empresa desobrigada de qualque...
**Adicional de Insalubridade**:
Adicional de Insalubridade
**Adicional Noturno**:
Adicional Noturno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**Descanso Semanal Remunerado**:
repouso semanal remunerado foram calculados. O relatório poderá ser entregue até 10 (dez) dias após o pagamento do salário. Auxílio Alimentação
**Abono de Faltas**:
ABONO DE FALTAS Serão abonadas as faltas dos empregados vestibulandos, no período que comprovarem exames, desde que ocorram na localidade em que trabalhem ou residam.
**FGTS**:
FGTS, devidamente atualizado, e guias de recolhimento das competências indicadas como não localizadas na conta vinculada; f) guia de recolhimento rescisório do FGTS e da Contribuição Social, nas hipóteses do art. 18 da Lei nº 8.036, de 11 de maio de 1990, e do art. 1º da Lei Complementar nº 110, de 29 de junho de 2001; g) Comunicação de Dispensa - CD e Requerimento do Seguro Desemprego, nas rescis...</t>
        </is>
      </c>
      <c r="O96" s="2" t="inlineStr">
        <is>
          <t>Compensação de Jornada</t>
        </is>
      </c>
      <c r="P96" s="2" t="inlineStr"/>
      <c r="Q96" s="2" t="inlineStr"/>
    </row>
    <row r="97">
      <c r="A97" s="2" t="n">
        <v>96</v>
      </c>
      <c r="B97" s="2" t="inlineStr">
        <is>
          <t>260-TA-CCT-SINDICATO DOS EMPREGADOS EM EMPRESAS DE ASSEIO E CONSERVACAO, LIMPEZA URBANA, LIMPEZA PUBLICA E EM GERAL, AMBIENTAL, AREAS VERDES, ZELADORIA E SERVICO-01-02-2026.pdf</t>
        </is>
      </c>
      <c r="C97" s="2" t="inlineStr">
        <is>
          <t>SINDICATO DOS EMPREGADOS EM EMPRESAS DE ASSEIO E CONSERVACAO, LIMPEZA URBANA, LIMPEZA PUBLICA E EM GERAL, AMBIENTAL, AREAS VERDES, ZELADORIA E SERVICO</t>
        </is>
      </c>
      <c r="D97" s="2" t="inlineStr">
        <is>
          <t>JM SERVICOS DE CARREGAMENTO LTDA</t>
        </is>
      </c>
      <c r="E97" s="2" t="inlineStr">
        <is>
          <t>04.160.954/0001-12</t>
        </is>
      </c>
      <c r="F97" s="2" t="inlineStr">
        <is>
          <t>11.206.645/0001-00</t>
        </is>
      </c>
      <c r="G97" s="2" t="inlineStr">
        <is>
          <t>01º de
fevereiro de 2026</t>
        </is>
      </c>
      <c r="H97" s="2" t="inlineStr">
        <is>
          <t>31 de janeiro de 2027</t>
        </is>
      </c>
      <c r="I97" s="2" t="inlineStr">
        <is>
          <t>01º de
fevereiro de 2026</t>
        </is>
      </c>
      <c r="J97" s="2" t="inlineStr"/>
      <c r="K97" s="2" t="inlineStr"/>
      <c r="L97" s="2" t="inlineStr"/>
      <c r="M97" s="2" t="inlineStr"/>
      <c r="N97" s="2" t="inlineStr">
        <is>
          <t>**Seguro de Vida**:
Seguro de Vida</t>
        </is>
      </c>
      <c r="O97" s="2" t="inlineStr"/>
      <c r="P97" s="2" t="inlineStr"/>
      <c r="Q97" s="2" t="inlineStr"/>
    </row>
    <row r="98">
      <c r="A98" s="2" t="n">
        <v>97</v>
      </c>
      <c r="B98" s="2" t="inlineStr">
        <is>
          <t>32-CCT-SINDICATO DOS FARMACEUTICOS NO ESTADO DO PARANA-01-03-2026.pdf</t>
        </is>
      </c>
      <c r="C98" s="2" t="inlineStr">
        <is>
          <t>SINDICATO DOS FARMACEUTICOS NO ESTADO DO PARANA</t>
        </is>
      </c>
      <c r="D98" s="2" t="inlineStr">
        <is>
          <t>SIND DO COM VAREJ DE STO A DA PLATINA</t>
        </is>
      </c>
      <c r="E98" s="2" t="inlineStr">
        <is>
          <t>77.636.363/0001-42</t>
        </is>
      </c>
      <c r="F98" s="2" t="inlineStr">
        <is>
          <t>81.163.560/0001-69</t>
        </is>
      </c>
      <c r="G98" s="2" t="inlineStr">
        <is>
          <t>01º de março de
2026</t>
        </is>
      </c>
      <c r="H98" s="2" t="inlineStr">
        <is>
          <t>28 de fevereiro de 2027</t>
        </is>
      </c>
      <c r="I98" s="2" t="inlineStr">
        <is>
          <t>01º de março de
2026</t>
        </is>
      </c>
      <c r="J98" s="2" t="inlineStr">
        <is>
          <t>5,00%</t>
        </is>
      </c>
      <c r="K98" s="2" t="inlineStr"/>
      <c r="L98" s="2" t="inlineStr">
        <is>
          <t>CONTRIBUIÇÃO SINDICAL A contribuição sindical será recolhida na forma da legislação vigente.</t>
        </is>
      </c>
      <c r="M98" s="2" t="inlineStr"/>
      <c r="N98" s="2" t="inlineStr">
        <is>
          <t>**Auxílio Transporte / Vale-transporte**:
Auxílio Transporte
**Refeição / Alimentação (VA/VR)**:
vale refeição, cesta básica ou auxílio alimentação e será concedido em vales/tickets. Tal benefício jamais será considerado como salário in natura e não integrará salário em hipótese alguma. Recomenda-se a todas as empresas obrigadas ao cumprimento desta CCT que procedam imediatamente ao seu registro no Programa de Alimentação do Trabalhador – PAT. Parágrafo Primeiro – As empresas que já concediam...
**Plano Odontológico**:
odontológicos fornecidos pelos profissionais da Previdência Social, do Sindicato dos Empregados, das empresas ou organizações por ela contratadas; bem como de profissionais particulares sem distinção. Os atestados de profissionais particulares serão sujeitos à apreciação dos médicos da empresa. Relações Sindicais Acesso a Informações da Empresa
**Seguro de Vida**:
Seguro de Vida
**Cesta Básica**:
cesta básica ou auxílio alimentação e será concedido em vales/tickets. Tal benefício jamais será considerado como salário in natura e não integrará salário em hipótese alguma. Recomenda-se a todas as empresas obrigadas ao cumprimento desta CCT que procedam imediatamente ao seu registro no Programa de Alimentação do Trabalhador – PAT. Parágrafo Primeiro – As empresas que já concediam benefício simi...
**Diárias / Ressarcimento**:
diárias de trabalho efetivo. 4 – DÉBITO NO BANCO DE HORAS A diferença a menor entre a jornada contratual semanal e as horas efetivamente trabalhadas poderá ser debitada no BANCO DE HORAS, com exceção daquelas referentes à faltas e atrasos não justificados. 5 – RESCISÃO CONTRATUAL a hipótese de rescisão do contrato de trabalho, qualquer que seja a causa, o saldo credor do empregado será pago como h...
**Adicional de Periculosidade**:
Adicional de Periculosidade
**Adicional de Insalubridade**:
Adicional de Insalubridade
**Adicional Noturno**:
Adicional Noturno
**Horas Extras**:
hora extra, com os adicionais legais. Se, ao contrário, o saldo for devedor, o empregado será remido, não sendo descontadas as horas não compensadas. 6 – TRABALHOS EM DIAS DE DESCANSO Na hipótese de convocação do empregado para o trabalho em dias de descanso semanal ou feriados, o crédito do BANCO DE HORAS será considerado em dobro, desde que as referidas horas não sejam compensadas através de fol...
**Descanso Semanal Remunerado**:
repouso semanal remunerado. Parágrafo único: As comissões, para efeito de cálculo de 13º salário, férias e inclusive proporcionais, indenizações por tempo de serviço e aviso prévio indenizado, serão corrigidas com base no INPC ou qualquer outro índice que venha a substituí-lo por determinação do governo. Para cálculo do 13º salário, adotar-se-á a média corrigida das comissões pagas no ano, a conta...
**Abono de Faltas**:
ABONO DE FALTAS PARA LEVAR DEPENDENTE AO MÉDICO Serão abonadas as faltas, por motivo de doença dos filhos, do cônjuge, do (a) companheiro (a) ou dependente legal, desde que inscritos perante a Previdência Social, mediante a apresentação de atestado médico.
**FGTS**:
FGTS. O pagamento do salário será feito mediante recibo, com a identificação da empresa, fornecendo-se cópia ao empregado, e do qual constarão a remuneração, com a discriminação das parcelas, a quantia líquida paga, os dias trabalhados ou o total da produção, as horas extras e os descontos efetuados, inclusive para a Previdência Social, e o valor correspondente ao FGTS.</t>
        </is>
      </c>
      <c r="O98" s="2" t="inlineStr">
        <is>
          <t>Banco de Horas na razão de 1 hora e 27 minutos.</t>
        </is>
      </c>
      <c r="P98" s="2" t="inlineStr">
        <is>
          <t>aviso prévio indenizado, serão corrigidas com base no INPC ou</t>
        </is>
      </c>
      <c r="Q98" s="2" t="inlineStr"/>
    </row>
    <row r="99">
      <c r="A99" s="2" t="n">
        <v>98</v>
      </c>
      <c r="B99" s="2" t="inlineStr">
        <is>
          <t>33-CCT-FEDERACAO DOS TRABALHADORES EM EMPRESAS ENQUADRADAS NO TERCEIRO GRUPO COMERCIO E EMPREGADOS EM EMPRESAS PRESTADORAS DE SERVICOS DO ESTADO DO PARANA - SINDICATO DAS EMPRESAS DE SEGURANCA PRIVADA DO ESTADO DO PAR-01-02-2026.pdf</t>
        </is>
      </c>
      <c r="C99" s="2" t="inlineStr">
        <is>
          <t>FEDERACAO DOS TRABALHADORES EM EMPRESAS ENQUADRADAS NO TERCEIRO GRUPO COMERCIO E EMPREGADOS EM EMPRESAS PRESTADORAS DE SERVICOS DO ESTADO DO PARANA</t>
        </is>
      </c>
      <c r="D99" s="2" t="inlineStr">
        <is>
          <t>SOARES; SINDICATO EMPREG EMPRESAS SEG VIGILANCIA, TRANS VALORES SEG PESSOAL ORGANICA ESC ARMADA AG TATICO E MONIT CURSO FORM ESP VIGI E SIMIL DE CURITIBA E RE</t>
        </is>
      </c>
      <c r="E99" s="2" t="inlineStr">
        <is>
          <t>81.906.810/0001-03</t>
        </is>
      </c>
      <c r="F99" s="2" t="inlineStr">
        <is>
          <t>78.232.774/0001-35</t>
        </is>
      </c>
      <c r="G99" s="2" t="inlineStr">
        <is>
          <t>01º de fevereiro de
2026</t>
        </is>
      </c>
      <c r="H99" s="2" t="inlineStr">
        <is>
          <t>31 de janeiro de 2028</t>
        </is>
      </c>
      <c r="I99" s="2" t="inlineStr">
        <is>
          <t>01º de fevereiro de
2026</t>
        </is>
      </c>
      <c r="J99" s="2" t="inlineStr">
        <is>
          <t>7,95%</t>
        </is>
      </c>
      <c r="K99" s="2" t="inlineStr"/>
      <c r="L99" s="2"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M99" s="2" t="inlineStr"/>
      <c r="N99" s="2"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O99" s="2" t="inlineStr">
        <is>
          <t>jornada de trabalho de 12 horas | COMPENSAÇÃO DE JORNADA</t>
        </is>
      </c>
      <c r="P99" s="2" t="inlineStr"/>
      <c r="Q99" s="2" t="inlineStr"/>
    </row>
    <row r="100">
      <c r="A100" s="2" t="n">
        <v>99</v>
      </c>
      <c r="B100" s="2" t="inlineStr">
        <is>
          <t>33-CCT-FEDERACAO DOS TRABALHADORES EM EMPRESAS ENQUADRADAS NO TERCEIRO GRUPO COMERCIO E EMPREGADOS EM EMPRESAS PRESTADORAS DE SERVICOS DO ESTADO DO PARANA - SINDICATO DAS EMPRESAS DE SEGURANCA PRIVADA DO ESTADO DO PAR-01-09-2024.pdf</t>
        </is>
      </c>
      <c r="C100" s="2" t="inlineStr">
        <is>
          <t>FEDERACAO DOS TRABALHADORES EM EMPRESAS ENQUADRADAS NO TERCEIRO GRUPO COMERCIO E EMPREGADOS EM EMPRESAS PRESTADORAS DE SERVICOS DO ESTADO DO PARANA</t>
        </is>
      </c>
      <c r="D100" s="2" t="inlineStr">
        <is>
          <t>SOARES; SINDICATO DOS EMPREGADOS EM EMPRESAS DE TRANSPORTE DE VALORES E ESCOLTA ARMADA DO ESTADO DO PARANA</t>
        </is>
      </c>
      <c r="E100" s="2" t="inlineStr">
        <is>
          <t>81.906.810/0001-03</t>
        </is>
      </c>
      <c r="F100" s="2" t="inlineStr">
        <is>
          <t>12.278.102/0001-52</t>
        </is>
      </c>
      <c r="G100" s="2" t="inlineStr">
        <is>
          <t>01º de setembro de
2024</t>
        </is>
      </c>
      <c r="H100" s="2" t="inlineStr">
        <is>
          <t>31 de agosto de 2026</t>
        </is>
      </c>
      <c r="I100" s="2" t="inlineStr">
        <is>
          <t>01º de setembro de
2024</t>
        </is>
      </c>
      <c r="J100" s="2" t="inlineStr">
        <is>
          <t>4,71%</t>
        </is>
      </c>
      <c r="K100" s="2" t="inlineStr"/>
      <c r="L100" s="2"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M100" s="2" t="inlineStr"/>
      <c r="N100" s="2"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O100" s="2" t="inlineStr"/>
      <c r="P100" s="2" t="inlineStr"/>
      <c r="Q100" s="2" t="inlineStr"/>
    </row>
    <row r="101">
      <c r="A101" s="2" t="n">
        <v>100</v>
      </c>
      <c r="B101" s="2" t="inlineStr">
        <is>
          <t>33-CCT-FEDERACAO DOS TRABALHADORES EM EMPRESAS ENQUADRADAS NO TERCEIRO GRUPO COMERCIO E EMPREGADOS EM EMPRESAS PRESTADORAS DE SERVICOS DO ESTADO DO PARANA-01-02-2026.pdf</t>
        </is>
      </c>
      <c r="C101" s="2" t="inlineStr">
        <is>
          <t>FEDERACAO DOS TRABALHADORES EM EMPRESAS ENQUADRADAS NO TERCEIRO GRUPO COMERCIO E EMPREGADOS EM EMPRESAS PRESTADORAS DE SERVICOS DO ESTADO DO PARANA</t>
        </is>
      </c>
      <c r="D101" s="2" t="inlineStr">
        <is>
          <t>SOARES; SINDICATO EMPREG EMPRESAS SEG VIGILANCIA, TRANS VALORES SEG PESSOAL ORGANICA ESC ARMADA AG TATICO E MONIT CURSO FORM ESP VIGI E SIMIL DE CURITIBA E RE</t>
        </is>
      </c>
      <c r="E101" s="2" t="inlineStr">
        <is>
          <t>81.906.810/0001-03</t>
        </is>
      </c>
      <c r="F101" s="2" t="inlineStr">
        <is>
          <t>78.232.774/0001-35</t>
        </is>
      </c>
      <c r="G101" s="2" t="inlineStr">
        <is>
          <t>01º de fevereiro de
2026</t>
        </is>
      </c>
      <c r="H101" s="2" t="inlineStr">
        <is>
          <t>31 de janeiro de 2028</t>
        </is>
      </c>
      <c r="I101" s="2" t="inlineStr">
        <is>
          <t>01º de fevereiro de
2026</t>
        </is>
      </c>
      <c r="J101" s="2" t="inlineStr">
        <is>
          <t>7,95%</t>
        </is>
      </c>
      <c r="K101" s="2" t="inlineStr"/>
      <c r="L101" s="2" t="inlineStr">
        <is>
          <t>5,0% - CONTRIBUIÇÃO NEGOCIAL PROFISSIONAL Cumprindo com as deliberação das Assembleias Gerais Extraordinárias e tendo em vista a inexistência atual de qualquer imposto ou taxa para a manutenção da atividade de representação sindical e do seu trabalho em defesa da categoria profissional, nos termos do aprov...</t>
        </is>
      </c>
      <c r="M101" s="2" t="inlineStr"/>
      <c r="N101" s="2" t="inlineStr">
        <is>
          <t>**Refeição / Alimentação (VA/VR)**:
vale alimentação previsto na alínea “c” e R$ 28,00 (vinte e oito reais) previsto na alínea "f", ambos da
**Auxílio Creche**:
Auxílio Creche
**Seguro de Vida**:
Seguro de Vida
**Diárias / Ressarcimento**: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
**Adicional de Periculosidade**:
adicional de periculosidade (artigo 193 da CLT) de 30% a todos os vigilantes que exercem as funções descritas nos itens 03.1, 03.2, 03.3, 03.5 e 03.7, por força do presente instrumento e independente do local de trabalho; Parágrafo segundo: a gratificação referida nos itens 03.5 a 03.7 será paga enquanto o vigilante estiver exercendo as funções que a ensejam, podendo assim ser validamente cessado ...
**Adicional de Insalubridade**:
adicional de insalubridade na forma e limites da lei e deste instrumento exclusivamente, ajustado que os percentuais incidirão sobre o salário-base e o salário mínimo legal, respectivamente. Auxílio Alimentação
**Adicional Noturno**:
Adicional Noturno
**Horas Extras**:
hora extra evento". Parágrafo sexto: os pisos salariais aqui definidos serão reajustados, em 01/02/2027, com o INPC acumulado do período de 01/02/2026 a 31/01/2027, acrescidos de 1%. Reajustes/Correções Salariais
**Descanso Semanal Remunerado**: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**FGTS**:
FGTS, observado o parágrafo único do artigo 464 da CLT. Gratificações, Adicionais, Auxílios e Outros 13º Salário</t>
        </is>
      </c>
      <c r="O101" s="2" t="inlineStr">
        <is>
          <t>jornada de trabalho de 12 horas | COMPENSAÇÃO DE JORNADA</t>
        </is>
      </c>
      <c r="P101" s="2" t="inlineStr"/>
      <c r="Q101" s="2" t="inlineStr"/>
    </row>
    <row r="102">
      <c r="A102" s="2" t="n">
        <v>101</v>
      </c>
      <c r="B102" s="2" t="inlineStr">
        <is>
          <t>33-CCT-FEDERACAO DOS TRABALHADORES EM EMPRESAS ENQUADRADAS NO TERCEIRO GRUPO COMERCIO E EMPREGADOS EM EMPRESAS PRESTADORAS DE SERVICOS DO ESTADO DO PARANA-01-05-2026.pdf</t>
        </is>
      </c>
      <c r="C102" s="2" t="inlineStr">
        <is>
          <t>SIND TRAB EMP SERV CONT ASS PER INF PESQ EMP PREST SERV</t>
        </is>
      </c>
      <c r="D102" s="2" t="inlineStr"/>
      <c r="E102" s="2" t="inlineStr">
        <is>
          <t>79.583.241/0001-60</t>
        </is>
      </c>
      <c r="F102" s="2" t="inlineStr">
        <is>
          <t>81.906.810/0001-03</t>
        </is>
      </c>
      <c r="G102" s="2" t="inlineStr">
        <is>
          <t>01º de maio de 2026</t>
        </is>
      </c>
      <c r="H102" s="2" t="inlineStr">
        <is>
          <t>30 de abril de 2027</t>
        </is>
      </c>
      <c r="I102" s="2" t="inlineStr">
        <is>
          <t>01º de maio de 2026</t>
        </is>
      </c>
      <c r="J102" s="2" t="inlineStr"/>
      <c r="K102" s="2" t="inlineStr">
        <is>
          <t>A) As empresas poderão contratar profissionais que ainda não tiveram a CTPS assinada como engenheiro, arquiteto ou geocientista por um período máximo de 2 anos, com salário correspondente a no mínimo: R$ 7.000,00</t>
        </is>
      </c>
      <c r="L102"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02" s="2" t="inlineStr"/>
      <c r="N102"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02" s="2" t="inlineStr">
        <is>
          <t>Compensação de Jornada</t>
        </is>
      </c>
      <c r="P102" s="2" t="inlineStr"/>
      <c r="Q102" s="2" t="inlineStr">
        <is>
          <t>penalidades previstas em lei. a) até 15 dias de atraso – 2% (dois por cento); b) 16 a 30 dias de</t>
        </is>
      </c>
    </row>
    <row r="103">
      <c r="A103" s="2" t="n">
        <v>102</v>
      </c>
      <c r="B103" s="2" t="inlineStr">
        <is>
          <t>33-CCT-FEDERACAO DOS TRABALHADORES EM EMPRESAS ENQUADRADAS NO TERCEIRO GRUPO COMERCIO E EMPREGADOS EM EMPRESAS PRESTADORAS DE SERVICOS DO ESTADO DO PARANA-01-06-2026.pdf</t>
        </is>
      </c>
      <c r="C103" s="2" t="inlineStr">
        <is>
          <t>SINDICATO EMP SERV CONT ASSES PERICIAS INF PESQ EST PR</t>
        </is>
      </c>
      <c r="D103" s="2" t="inlineStr">
        <is>
          <t>SIND TRAB EMP SERV CONT ASS PER INF PESQ EMP PREST SERV</t>
        </is>
      </c>
      <c r="E103" s="2" t="inlineStr">
        <is>
          <t>81.047.508/0001-47</t>
        </is>
      </c>
      <c r="F103" s="2" t="inlineStr">
        <is>
          <t>79.583.241/0001-60</t>
        </is>
      </c>
      <c r="G103" s="2" t="inlineStr">
        <is>
          <t>01º de junho de
2026</t>
        </is>
      </c>
      <c r="H103" s="2" t="inlineStr">
        <is>
          <t>31 de maio de 2027</t>
        </is>
      </c>
      <c r="I103" s="2" t="inlineStr">
        <is>
          <t>01º de junho de
2026</t>
        </is>
      </c>
      <c r="J103" s="2" t="inlineStr">
        <is>
          <t>5,5%</t>
        </is>
      </c>
      <c r="K103" s="2" t="inlineStr"/>
      <c r="L103" s="2" t="inlineStr">
        <is>
          <t>3% - contribuição negocial/assistencial em favor do SINDASPP. Esta contribuição será devida por todos os empregados integrantes da categoria profissional e beneficiários deste instrumento coletivo, com fundamento no princípio da contraprestação e conforme entendimento do Supremo Tribunal Federal com repe...</t>
        </is>
      </c>
      <c r="M103" s="2" t="inlineStr"/>
      <c r="N103"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R$ 35,00 (trinta e cinco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adesão aos respectivos benefícios. Gratificações, Adicionais, Auxílios e Outros ...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03" s="2" t="inlineStr">
        <is>
          <t>COMPENSAÇÃO DE JORNADA DE</t>
        </is>
      </c>
      <c r="P103" s="2" t="inlineStr"/>
      <c r="Q103" s="2" t="inlineStr"/>
    </row>
    <row r="104">
      <c r="A104" s="2" t="n">
        <v>103</v>
      </c>
      <c r="B104" s="2" t="inlineStr">
        <is>
          <t>33-CCT-FEDERACAO DOS TRABALHADORES EM EMPRESAS ENQUADRADAS NO TERCEIRO GRUPO COMERCIO E EMPREGADOS EM EMPRESAS PRESTADORAS DE SERVICOS DO ESTADO DO PARANA-01-07-2025.pdf</t>
        </is>
      </c>
      <c r="C104" s="2" t="inlineStr">
        <is>
          <t>SINDICATO NACIONAL DE COMISSARIAS DE DESPACHOS, AGENTES TRANSITARIOS E INTERMED. DE CARGA, LOGISTICA E FRETES EM COMERCIO INTERNAC. - SINDICOMIS</t>
        </is>
      </c>
      <c r="D104" s="2" t="inlineStr">
        <is>
          <t>SIND TRAB EMP SERV CONT ASS PER INF PESQ EMP PREST SERV</t>
        </is>
      </c>
      <c r="E104" s="2" t="inlineStr">
        <is>
          <t>61.762.290/0001-03</t>
        </is>
      </c>
      <c r="F104" s="2" t="inlineStr">
        <is>
          <t>79.583.241/0001-60</t>
        </is>
      </c>
      <c r="G104" s="2" t="inlineStr">
        <is>
          <t>01º de julho de 2025</t>
        </is>
      </c>
      <c r="H104" s="2" t="inlineStr">
        <is>
          <t>30 de junho de 2027</t>
        </is>
      </c>
      <c r="I104" s="2" t="inlineStr">
        <is>
          <t>01º de julho de 2025</t>
        </is>
      </c>
      <c r="J104" s="2" t="inlineStr">
        <is>
          <t>0,75%</t>
        </is>
      </c>
      <c r="K104" s="2" t="inlineStr"/>
      <c r="L104" s="2"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M104" s="2" t="inlineStr"/>
      <c r="N104" s="2"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O104" s="2" t="inlineStr">
        <is>
          <t>banco de horas;</t>
        </is>
      </c>
      <c r="P104" s="2" t="inlineStr"/>
      <c r="Q104" s="2" t="inlineStr"/>
    </row>
    <row r="105">
      <c r="A105" s="2" t="n">
        <v>104</v>
      </c>
      <c r="B105" s="2" t="inlineStr">
        <is>
          <t>33-CCT-FEDERACAO DOS TRABALHADORES EM EMPRESAS ENQUADRADAS NO TERCEIRO GRUPO COMERCIO E EMPREGADOS EM EMPRESAS PRESTADORAS DE SERVICOS DO ESTADO DO PARANA-01-09-2024.pdf</t>
        </is>
      </c>
      <c r="C105" s="2" t="inlineStr">
        <is>
          <t>FEDERACAO DOS TRABALHADORES EM EMPRESAS ENQUADRADAS NO TERCEIRO GRUPO COMERCIO E EMPREGADOS EM EMPRESAS PRESTADORAS DE SERVICOS DO ESTADO DO PARANA</t>
        </is>
      </c>
      <c r="D105" s="2" t="inlineStr">
        <is>
          <t>SOARES; SINDICATO DOS EMPREGADOS EM EMPRESAS DE TRANSPORTE DE VALORES E ESCOLTA ARMADA DO ESTADO DO PARANA</t>
        </is>
      </c>
      <c r="E105" s="2" t="inlineStr">
        <is>
          <t>81.906.810/0001-03</t>
        </is>
      </c>
      <c r="F105" s="2" t="inlineStr">
        <is>
          <t>12.278.102/0001-52</t>
        </is>
      </c>
      <c r="G105" s="2" t="inlineStr">
        <is>
          <t>01º de setembro de
2024</t>
        </is>
      </c>
      <c r="H105" s="2" t="inlineStr">
        <is>
          <t>31 de agosto de 2026</t>
        </is>
      </c>
      <c r="I105" s="2" t="inlineStr">
        <is>
          <t>01º de setembro de
2024</t>
        </is>
      </c>
      <c r="J105" s="2" t="inlineStr">
        <is>
          <t>4,71%</t>
        </is>
      </c>
      <c r="K105" s="2" t="inlineStr"/>
      <c r="L105" s="2" t="inlineStr">
        <is>
          <t>5,0% - contribuição negocial/assistencial de solidariedade em favor das entidades sindicais profissionais representativas para manutenção do sistema confederativo, sendo garantido aos não associados que assim desejarem, o direito de oposição fundamentada e individual, tudo de acordo com as condições que se...</t>
        </is>
      </c>
      <c r="M105" s="2" t="inlineStr"/>
      <c r="N105" s="2" t="inlineStr">
        <is>
          <t>**Auxílio Transporte / Vale-transporte**:
Auxílio Transporte
**Refeição / Alimentação (VA/VR)**: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
**Auxílio Creche**:
Auxílio Creche
**Plano de Saúde / Assistência Médica**: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
**Seguro de Vida**:
Seguro de Vida
**Diárias / Ressarcimento**: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
**Adicional de Periculosidade**: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**Horas Extras**: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
**FGTS**:
FGTS. Parágrafo único: o empregador, mensalmente, remeterá aos seus empregados o extrato bancário da respectiva conta de FGTS.</t>
        </is>
      </c>
      <c r="O105" s="2" t="inlineStr"/>
      <c r="P105" s="2" t="inlineStr"/>
      <c r="Q105" s="2" t="inlineStr"/>
    </row>
    <row r="106">
      <c r="A106" s="2" t="n">
        <v>105</v>
      </c>
      <c r="B106" s="2" t="inlineStr">
        <is>
          <t>33-TA-CCT-FEDERACAO DOS TRABALHADORES EM EMPRESAS ENQUADRADAS NO TERCEIRO GRUPO COMERCIO E EMPREGADOS EM EMPRESAS PRESTADORAS DE SERVICOS DO ESTADO DO PARANA - SINDICATO DAS EMPRESAS DE SEGURANCA PRIVADA DO ESTADO DO PAR-01-02-2026.pdf</t>
        </is>
      </c>
      <c r="C106" s="2" t="inlineStr">
        <is>
          <t>FEDERACAO DOS TRABALHADORES EM EMPRESAS ENQUADRADAS NO TERCEIRO GRUPO COMERCIO E EMPREGADOS EM EMPRESAS PRESTADORAS DE SERVICOS DO ESTADO DO PARANA</t>
        </is>
      </c>
      <c r="D106" s="2" t="inlineStr">
        <is>
          <t>SOARES; SINDICATO EMPREG EMPRESAS SEG VIGILANCIA, TRANS VALORES SEG PESSOAL ORGANICA ESC ARMADA AG TATICO E MONIT CURSO FORM ESP VIGI E SIMIL DE CURITIBA E RE</t>
        </is>
      </c>
      <c r="E106" s="2" t="inlineStr">
        <is>
          <t>81.906.810/0001-03</t>
        </is>
      </c>
      <c r="F106" s="2" t="inlineStr">
        <is>
          <t>78.232.774/0001-35</t>
        </is>
      </c>
      <c r="G106" s="2" t="inlineStr">
        <is>
          <t>01º
de fevereiro de 2026</t>
        </is>
      </c>
      <c r="H106" s="2" t="inlineStr">
        <is>
          <t>31 de janeiro de 2028</t>
        </is>
      </c>
      <c r="I106" s="2" t="inlineStr">
        <is>
          <t>01º
de fevereiro de 2026</t>
        </is>
      </c>
      <c r="J106" s="2" t="inlineStr"/>
      <c r="K106" s="2" t="inlineStr"/>
      <c r="L106" s="2" t="inlineStr"/>
      <c r="M106" s="2" t="inlineStr"/>
      <c r="N106" s="2" t="inlineStr">
        <is>
          <t>Não especificado</t>
        </is>
      </c>
      <c r="O106" s="2" t="inlineStr"/>
      <c r="P106" s="2" t="inlineStr">
        <is>
          <t>aviso prévio indenizado.</t>
        </is>
      </c>
      <c r="Q106" s="2" t="inlineStr"/>
    </row>
    <row r="107">
      <c r="A107" s="2" t="n">
        <v>106</v>
      </c>
      <c r="B107" s="2" t="inlineStr">
        <is>
          <t>33-TA-CCT-FEDERACAO DOS TRABALHADORES EM EMPRESAS ENQUADRADAS NO TERCEIRO GRUPO COMERCIO E EMPREGADOS EM EMPRESAS PRESTADORAS DE SERVICOS DO ESTADO DO PARANA-01-02-2026.pdf</t>
        </is>
      </c>
      <c r="C107" s="2" t="inlineStr">
        <is>
          <t>FEDERACAO DOS TRABALHADORES EM EMPRESAS ENQUADRADAS NO TERCEIRO GRUPO COMERCIO E EMPREGADOS EM EMPRESAS PRESTADORAS DE SERVICOS DO ESTADO DO PARANA</t>
        </is>
      </c>
      <c r="D107" s="2" t="inlineStr">
        <is>
          <t>SOARES; SINDICATO EMPREG EMPRESAS SEG VIGILANCIA, TRANS VALORES SEG PESSOAL ORGANICA ESC ARMADA AG TATICO E MONIT CURSO FORM ESP VIGI E SIMIL DE CURITIBA E RE</t>
        </is>
      </c>
      <c r="E107" s="2" t="inlineStr">
        <is>
          <t>81.906.810/0001-03</t>
        </is>
      </c>
      <c r="F107" s="2" t="inlineStr">
        <is>
          <t>78.232.774/0001-35</t>
        </is>
      </c>
      <c r="G107" s="2" t="inlineStr">
        <is>
          <t>01º
de fevereiro de 2026</t>
        </is>
      </c>
      <c r="H107" s="2" t="inlineStr">
        <is>
          <t>31 de janeiro de 2028</t>
        </is>
      </c>
      <c r="I107" s="2" t="inlineStr">
        <is>
          <t>01º
de fevereiro de 2026</t>
        </is>
      </c>
      <c r="J107" s="2" t="inlineStr"/>
      <c r="K107" s="2" t="inlineStr"/>
      <c r="L107" s="2" t="inlineStr"/>
      <c r="M107" s="2" t="inlineStr"/>
      <c r="N107" s="2" t="inlineStr">
        <is>
          <t>Não especificado</t>
        </is>
      </c>
      <c r="O107" s="2" t="inlineStr"/>
      <c r="P107" s="2" t="inlineStr">
        <is>
          <t>aviso prévio indenizado.</t>
        </is>
      </c>
      <c r="Q107" s="2" t="inlineStr"/>
    </row>
    <row r="108">
      <c r="A108" s="2" t="n">
        <v>107</v>
      </c>
      <c r="B108" s="2" t="inlineStr">
        <is>
          <t>335-CCT-SINDICATO DOS TRAB NAS INDS GRAF DO EST DO PARANA - FEDERACAO DAS INDUSTRIAS DO ESTADO DO PARANA-01-04-2026.pdf</t>
        </is>
      </c>
      <c r="C108" s="2" t="inlineStr">
        <is>
          <t>SINDICATO DOS TRAB NAS INDS GRAF DO EST DO PARANA</t>
        </is>
      </c>
      <c r="D108" s="2" t="inlineStr">
        <is>
          <t>FEDERACAO DAS INDUSTRIAS DO ESTADO DO PARANA</t>
        </is>
      </c>
      <c r="E108" s="2" t="inlineStr">
        <is>
          <t>76.905.918/0001-41</t>
        </is>
      </c>
      <c r="F108" s="2" t="inlineStr">
        <is>
          <t>76.709.898/0001-33</t>
        </is>
      </c>
      <c r="G108" s="2" t="inlineStr">
        <is>
          <t>01º de abril de 2026</t>
        </is>
      </c>
      <c r="H108" s="2" t="inlineStr">
        <is>
          <t>31 de dezembro de 2026</t>
        </is>
      </c>
      <c r="I108" s="2" t="inlineStr">
        <is>
          <t>01º de abril de 2026</t>
        </is>
      </c>
      <c r="J108" s="2" t="inlineStr"/>
      <c r="K108" s="2"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L108" s="2" t="inlineStr"/>
      <c r="M108" s="2" t="inlineStr"/>
      <c r="N108" s="2"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O108" s="2" t="inlineStr">
        <is>
          <t>COMPENSAÇÃO DE JORNADA DE TRABALHO:</t>
        </is>
      </c>
      <c r="P108" s="2" t="inlineStr"/>
      <c r="Q108" s="2" t="inlineStr">
        <is>
          <t>penalidade prevista no artigo 613 alínea inciso VIII da CLT, em</t>
        </is>
      </c>
    </row>
    <row r="109">
      <c r="A109" s="2" t="n">
        <v>108</v>
      </c>
      <c r="B109" s="2" t="inlineStr">
        <is>
          <t>335-CCT-SINDICATO DOS TRAB NAS INDS GRAF DO EST DO PARANA - SINDICATO DAS INDUSTRIAS GRAFICAS DO ESTADO DO PARANA-01-01-2026.pdf</t>
        </is>
      </c>
      <c r="C109" s="2" t="inlineStr">
        <is>
          <t>SINDICATO DOS TRAB NAS INDS GRAF DO EST DO PARANA</t>
        </is>
      </c>
      <c r="D109" s="2" t="inlineStr"/>
      <c r="E109" s="2" t="inlineStr">
        <is>
          <t>76.905.918/0001-41</t>
        </is>
      </c>
      <c r="F109" s="2" t="inlineStr">
        <is>
          <t>77.322.261/0001-52</t>
        </is>
      </c>
      <c r="G109" s="2" t="inlineStr">
        <is>
          <t>01º de janeiro de
2026</t>
        </is>
      </c>
      <c r="H109" s="2" t="inlineStr">
        <is>
          <t>31 de dezembro de 2026</t>
        </is>
      </c>
      <c r="I109" s="2" t="inlineStr">
        <is>
          <t>01º de janeiro de
2026</t>
        </is>
      </c>
      <c r="J109" s="2" t="inlineStr">
        <is>
          <t>5,5%</t>
        </is>
      </c>
      <c r="K109" s="2" t="inlineStr"/>
      <c r="L109" s="2" t="inlineStr"/>
      <c r="M109" s="2" t="inlineStr"/>
      <c r="N109" s="2"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O109" s="2" t="inlineStr">
        <is>
          <t>Compensação de Jornada</t>
        </is>
      </c>
      <c r="P109" s="2" t="inlineStr"/>
      <c r="Q109" s="2" t="inlineStr"/>
    </row>
    <row r="110">
      <c r="A110" s="2" t="n">
        <v>109</v>
      </c>
      <c r="B110" s="2" t="inlineStr">
        <is>
          <t>335-CCT-SINDICATO DOS TRAB NAS INDS GRAF DO EST DO PARANA-01-01-2026.pdf</t>
        </is>
      </c>
      <c r="C110" s="2" t="inlineStr">
        <is>
          <t>SINDICATO DOS TRAB NAS INDS GRAF DO EST DO PARANA</t>
        </is>
      </c>
      <c r="D110" s="2" t="inlineStr"/>
      <c r="E110" s="2" t="inlineStr">
        <is>
          <t>76.905.918/0001-41</t>
        </is>
      </c>
      <c r="F110" s="2" t="inlineStr">
        <is>
          <t>77.322.261/0001-52</t>
        </is>
      </c>
      <c r="G110" s="2" t="inlineStr">
        <is>
          <t>01º de janeiro de
2026</t>
        </is>
      </c>
      <c r="H110" s="2" t="inlineStr">
        <is>
          <t>31 de dezembro de 2026</t>
        </is>
      </c>
      <c r="I110" s="2" t="inlineStr">
        <is>
          <t>01º de janeiro de
2026</t>
        </is>
      </c>
      <c r="J110" s="2" t="inlineStr">
        <is>
          <t>5,5%</t>
        </is>
      </c>
      <c r="K110" s="2" t="inlineStr"/>
      <c r="L110" s="2" t="inlineStr"/>
      <c r="M110" s="2" t="inlineStr"/>
      <c r="N110" s="2" t="inlineStr">
        <is>
          <t>**Auxílio Transporte / Vale-transporte**:
Auxílio Transporte
**Refeição / Alimentação (VA/VR)**:
vale-refeição, ticket-restaurante etc.), pelos reais benefícios que estes Programas trazem aos empregados e também às empresas, colocando-se à disposição para prestar a orientação e os esclarecimentos pertinentes.
**Plano de Saúde / Assistência Médica**: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coletivamente, não mais pode o empregado pleitear a devolução do mesmo. Outrossim,...
**Seguro de Vida**:
seguro de vida e de automóvel, mensalidade de associação, convênios, planos de assistência médica e/ou odontológica, convênios com farmácias, óticas, supermercados e congêneres, dentre outros, além de empréstimos pessoais, em caráter excepcional, para atender emergência, devendo o empregado, em seu pedido, esclarecer a finalidade do empréstimo. Uma vez autorizado o desconto, individualmente ou col...
**PPR / Participação nos Lucros**:
Participação nos Lucros e/ou Resultados
**Diárias / Ressarcimento**:
diárias. Parágrafo 2º: o benefício previsto nesta
**Adicional de Insalubridade**:
adicional de insalubridade, quando devido, o qual é pago em rubrica à parte. Parágrafo 1º - O exercício da função, para os fins previstos nesta
**Horas Extras**:
horas extraordinárias trabalhadas no dia; e 60% superior à da hora normal para as seguintes. Outros Adicionais
**Descanso Semanal Remunerado**:
repouso semanal remunerado. Saúde e Segurança do Trabalhador Uniforme
**FGTS**:
FGTS (Fundo de Garantia por Tempo de Serviço), sendo vedado a entrega acumulada do documento. Desligamento/Demissão</t>
        </is>
      </c>
      <c r="O110" s="2" t="inlineStr">
        <is>
          <t>Compensação de Jornada</t>
        </is>
      </c>
      <c r="P110" s="2" t="inlineStr"/>
      <c r="Q110" s="2" t="inlineStr"/>
    </row>
    <row r="111">
      <c r="A111" s="2" t="n">
        <v>110</v>
      </c>
      <c r="B111" s="2" t="inlineStr">
        <is>
          <t>335-CCT-SINDICATO DOS TRAB NAS INDS GRAF DO EST DO PARANA-01-04-2026.pdf</t>
        </is>
      </c>
      <c r="C111" s="2" t="inlineStr">
        <is>
          <t>SINDICATO DOS TRAB NAS INDS GRAF DO EST DO PARANA</t>
        </is>
      </c>
      <c r="D111" s="2" t="inlineStr">
        <is>
          <t>FEDERACAO DAS INDUSTRIAS DO ESTADO DO PARANA</t>
        </is>
      </c>
      <c r="E111" s="2" t="inlineStr">
        <is>
          <t>76.905.918/0001-41</t>
        </is>
      </c>
      <c r="F111" s="2" t="inlineStr">
        <is>
          <t>76.709.898/0001-33</t>
        </is>
      </c>
      <c r="G111" s="2" t="inlineStr">
        <is>
          <t>01º de abril de 2026</t>
        </is>
      </c>
      <c r="H111" s="2" t="inlineStr">
        <is>
          <t>31 de dezembro de 2026</t>
        </is>
      </c>
      <c r="I111" s="2" t="inlineStr">
        <is>
          <t>01º de abril de 2026</t>
        </is>
      </c>
      <c r="J111" s="2" t="inlineStr"/>
      <c r="K111" s="2" t="inlineStr">
        <is>
          <t xml:space="preserve">B) CLASSIFICAÇÃO FUNCIONAL E SALÁRIO PROFISSIONAL: Permanecem classificadas nesta Convenção Coletiva de Trabalho, as seguintes funções: BLOQUISTA/ACABAMENTO: CBO 7663-15 - Assim entendido aquele que: batendo os impressos, intercalando-os (caso com numeração), fazendo escolha e revisão, serrilhando ou picotando quando necessário prensando, passando cola no lombo, destacando, grampeando, colando a tira, furando quando preciso e separando a numeração. Pode dobrar a folha com numeração manualmente, margear os impressos na máquina de dobrar ou de envernizar, colecionar cadernos com numeração, esquadrar o papel, cortar no balancim, cortar no facão, costurar a máquina ou a Mão, contar o papel, fechar envelopes manualmente e confeccionar folhinhas, colando cabeçalho ou bloco. Deve possuir a instrução básica da 2ª série do primeiro grau, com conhecimentos específicos em máquinas e materiais usados e processos de impressão. Experiência mínima de 12 (doze), 24 (vinte e quatro) e 48 (quarenta e oito) meses; CORTADOR: CBO 7663-20 - Assim entendido aquele que corta e refila o papel e blocos na guilhotina, verificando a guia, estudando as medidas, quando necessário, batendo o papel, cortando-o e conferindo, colando-o na máquina, acertando sua posição e acionando a guilhotina, empilhando o papel cortado, colocando-o no estrado, acertando o esquadro e marcando-o com tinta a pincel, lateralmente. Troca a faca da guilhotina, quando necessário, colando uma nova e fazendo o acerto exigido. Pode transportar papel em carrinho até a guilhotina. Utiliza régua, fita métrica, jogo de chaves da máquina, motolia, lápis, carrinho e guilhotina. Experiência mínima de 24 (vinte e quatro) e 36 (trinta e seis) meses; COMPOSITOR MANUAL: CBO 7686-05 - (tipógrafo, formista, chapista) - Assim entendido aquele que: efetua a composição manual de chapas tipográficas, ajustando o componedor e dispondo ordenadamente os tipos no mesmo e na bolandeira, para possibilitar a reprodução de textos diversos. Examina o texto, observando o tamanho, espaçamento e letras, palavras e linhas, tipos a serem utilizados e outras características do trabalho, para programar a composição; ajusta o componedor, armando-o de acordo com o comprimento das linhas, para proceder à composição desejada; forma as linhas da composição, lendo o texto, escolhendo e dispondo os tipos e espaços no componedor e fazendo as medidas com a régua tipográfica para reproduzir o original arma a bolandeira, transferindo os grupos de linhas tirando do componedor, para montar a chapa (forma) ou granel; desamarra granez fundidos no monotipo(ou linhas de linotipo), colocando espaços e entrelinhas; monta clichês de uma ou mais cores; amarra chapas, contornando-as com barbantes ou acessórios adequados. Faz rubricas, desamarrando-as, trocando tipos ou linhas, conforme seja necessário, amarrando totalmente a chapa; providencia as provas de composição, encaminhando-as a impressão, para possibilitar a verificação e a correção de erros e falhas; examina a prova corrigida, verificando as correções efetuadas para realizar as modificações necessárias na composição e enviá-las a impressão final; pode distribuir chapas, depois de usadas, lavando-as se necessário; desamarrando-as separando os materiais e distribuindo-os nas gavetas ou caixas; pode paginar; pode tirar e corrigir provas; pode efetuar o desdobramento da chapa para impressão a cores; pode programar a disposição estética de impressões, como cartões, avisos, convites e prospectos; utiliza régua tipográfica. Componedor; pinça; bolandeira; barbante (ou acessório); chanfrador e prelo de provas. Deve possuir a instrução básica do primeiro grau ou curso técnico do SENAI. Experiência mínima de 48 (quarenta e oito) meses; COMPOSITOR MECÂNICO: (LINOTIPISTA CBO 7686-10) - Assim entendido aquele que opera máquina linotipo, regulando os dispositivos e manipulando o teclado segundo o texto original, para efetuar a composição automática do mesmo; fixa as extremidades das margens e as cunhas da máquina, manejando os dispositivos de preensão, para determinar o comprimento e espessura das linhas a serem formadas; manipula o teclado da máquina, dedilhando as teclas segundo as disposições das letras do texto, para fazer cair as matrizes dos magazines e formar as linhas; funde a linha de matrizes acionando o mecanismo de fusão, para montar a composição; providencia as provas da composição, encaminhando a mesma a impressão, para permitir a revisão do trabalho e a correção de erros e falhas; examina a prova, verificando os erros cometidos, para refazer as linhas incorretas e permitir a impressão; quando houver letra ou sinal especial, introduz no componedor a matriz correspondente manualmente; corta as linhas, quando necessário, utilizando serra; guarda as linhas, retirando-as da máquina, formando granel, pondo em tabuleiros e guardando-as; abastece a máquina ou chumbo, introduzindo-o nas caldeiras e controlando, constantemente, a temperatura. Utiliza régua tipográfica, chave de fenda, chave fixa, jogo de chaves próprio da máquina e linotipo. Deve possuir instrução básica do primeiro grau ou o curso do SENAI. Experiência mínima de 48 (quarenta e oito) meses; MONOTIPISTA: CBO 7686-15 - Assim entendido aquele que opera equipamento de composição regulando seus componentes e manipulando um teclado, para perfurar fitas de papel destinadas a uma máquina monotipo de fundir, examina o texto, observando tamanho, espaçamento de linhas, tipos de letras e outras características do trabalho, para programar a composição; seleciona o teclado, verificando sua correspondência ao tamanho e tipo de letras desejados, para instalá- lo na unidade compositora; procede a instalação do teclado na compositora, a fixação da escala de espaçamento e a colocação do rolo de papel entre as guias da máquina, orientando- se pelas especificações do trabalho e manipulando os dispositivos próprios, a fim de preparar a máquina para a perfuração da fita de papel; manipulando a máquina, abrindo o dispositivo de ar comprimido, dedilhando as teclas segundo o texto original e espaçamento devido, para perfurar a fita de papel; providencia o encaminhamento do trabalho, retirando da máquina o rolo de papel perfurado e enviando-o a máquina de fundir com as instruções necessárias, para permitir a fundição e composição de tipos soltos. Utiliza régua tipográfica, régua métrica, lápis, pinça, teclado de monotipo e motolia para lubrificação do mesmo. Deve possuir instrução básica de primeiro grau ou curso técnico do SENAI. Experiência mínima de 48 (quarenta e oito) meses; ARTEFINALISTA: CBO 7661-20 - Assim entendido aquele que confecciona, cria, finaliza, impressos em geral, embalagens, jornais, revistas, folhetos, leiautes, etc. Preparara a arte final do material a ser impresso. Analisa o planejamento gráfico, fazendo a diagramação e a marcação. Efetua tarefas pertinentes à ocupação utiliza-se de microcomputador e programas de informática específicos e profissionais da computação gráfica, para o desenvolvimento das artes e trabalhos que poderão ser gravados em papel vegetal, e ou convertidos em filmes ou chapas, os quais tornar- se-ão matrizes para impressão em off set em geral, off set plana, rotativa fria, quente e seco, tipográfica, litográfica, rotooffset, plotter, serigráfica, tampográfica, holográfica, letterpress, digital e outras técnicas de impressão sobre qualquer tipo de suporte Deve possuir instrução básica de segundo grau, ou curso do SENAI de arte final ou pré-impressão, ou equivalente. Experiência mínima de 12 (doze) e 24 (vinte e quatro) meses; COMPOSITOR ELETRÔNICO: CBO 7661-20 - operador de máquina compositora (teclador; digitador) - Assim entendido aquele que opera máquinas de composição eletrônica (composer IBM ou similar), ajustando a mesma de acordo com o trabalho a ser executado, ou seja, coloca o tipo de esfera adequado ao trabalho; introduz o papel; verifica se a máquina está na posição de impressão; faz o acerto das medidas de acordo com o texto original datilografando-o na memória do equipamento, para posterior reprodução. Possui conhecimento do equipamento e seus recursos. Deve possuir instrução básica do primeiro grau, formação profissional do SENAI ou IBM, conhecimentos específicos em terminologia gráfica, bem como, de grafia e gramática, capacidade de efetuar 180 (cento e oitenta) toques por minuto. Experiência mínima de 48 (quarenta e oito) meses; IMPRESSOR TIPOGRÁFICO MANUAL: CBO 7262-50 - (máquinas manuais) - Assim entendido aquele que opera máquinas de impressão manuais ou cilíndricas, regalando-as e acionando-as por meio de manipulação dos dispositivos de controle, para imprimir textos diversos. Verifica as características do trabalho, observando as indicações de tinta, papel e outros detalhes, para inteirar-se das especificações a seguir; engrada as chapas, dispondo-as na rama e preenchendo os espaços com peças complementares, colocando cunhas de pressão e pressionado os tipos (de chumbo) com instrumento apropriado, a fim de preparar o mecanismo e possibilitar a sua colocação na máquina, procede a fixação na máquina, procede a fixação da rama na platina da máquina e ao nivelamento da superfície de impressão; carrega os dispositivos de alimentação da máquina, enchendo-os com as quantidades indicadas de nível e papel, para provê-la do material necessário a impressão; ajusta a máquina, regulando os dispositivos de pressão e pressionando os tipos com instrumento apropriado, a fim de preparar a execução do tipo de impressão desejado, imprime as provas de máquina, acionado a impressora, para permitir a última revisão do texto, verifica a precisão da regulagem e efetua os acertos necessários, opera a máquina, acionando seus comandos, margeando o papel no esquadro e retirando-o após a impressão, quando for o caso, para obter a tiragem desejada. Pode manejar uma guilhotina para cortar o papel de impressão, pode preparar tintas, misturando duas ou mais cores, tirando a prova, experimentando-a no papel, misturando secantes ou solventes, conforme a necessidade e colocando-a no interior da máquina, pode lavar as chapas, retirando a rama da máquina, pode limpar e lubrificar a máquina. Utiliza régua, compasso, espátula, pinça, tesoura, chaves fixa e de fenda, alicate, tamborete e máquina impressora manual (minerva ou cilíndrica). Deve possuir instrução básica de primeiro grau, curso técnico do SENAI ou equivalente. Experiência mínima de 36 (trinta e seis) meses; Experiência Mínima de 48 (quarenta e oito) meses; IMPRESSOR TIPOGRÁFICO AUTOMÁTICO: CBO 7262-50 - (máquinas automáticas) - Assim entendido aquele que opera máquinas impressoras automáticas (minerva ou cilíndricas), regulando e acionando-as por meio da manipulação dos dispositivos de controle, para imprimir textos, ilustrações, desenhos e trabalhos similares, verifica as características do trabalho, observando as indicações de tinta, papel e outros detalhes, para inteirar-se das especificações a seguir: engrada as chapas, dispondo-as na rama e preenchendo espaços com peças complementares, colocando cunhas de pressão e pressionando os tipos (de chumbo) com instrumento apropriado, a fim de preparar o mecanismo e possibilitar sua colocação na máquina, procede a fixação da rama na platina da máquina e ao nivelamento da superfície de impressão; carrega os dispositivos de alimentação da máquina, enchendo-os com as quantidades indicadas de papel e tinta, para provê-lo do material necessário a impressão, ajusta a máquina, regulando os dispositivos de pressão e pressionado os tipos (de chumbo) com instrumento apropriado, a fim de preparar o tipo de impressão desejada, imprime as provas de máquina, acionando a impressora, para permitir a revisão do texto, verificar a precisão da regulagem e efetuar os acertos necessários da pressão, tintagem, velocidade e outros detalhes adequados ao pleno desempenho do trabalho a ser executado, opera a máquina, acionando seus comandos e controlando o seu funcionamento para obter a tiragem necessária e desejada. Pode manejar uma guilhotina para cortar papel de impressão, pode limpar e lubrificar a impressora, pode fazer rubricas, quando for o caso, pode confiar a ajudantes (se houver) a execução de algumas tarefas a si indicadas, como alimentação da máquina com papel, pode preparar tintas, misturando duas ou mais cores, tirando a prova, experimentando-a no papel, misturando secantes ou solvente, conforme a necessidade e colocando-as no tinteiro da máquina. Utiliza régua, compasso, espátula, pinça, tesoura, chaves fixa e de fenda, tamborete e máquina impressora automática (minerva ou cilíndrica). Deve possuir a instrução básica do primeiro grau, curso técnico do SENAI ou equivalente. Experiência mínima de 36 (trinta e seis) e 48 (quarenta e oito) meses; IMPRESSOR CATEGORIA COMERCIAL: CBO 7262-15 - offset (formatos 8 e 4) - Assim entendido aquele que opera máquinas de impressão offset (inclusive as chamadas duplicadoras offset), regulando e acionando-as por meio de dispositivos de controle e regulagem, ou painéis de controle, para imprimir todo e qualquer impresso de características a traço. Verifica e analisa as especificações do trabalho, observando tinta, água, solução, papel e outros detalhes para o bom registro de serviços. Regula o sistema de alimentação de papel, pressão, tinta e água. Substitui blanquetas; cópia e troca chapas; inclusive as eletrostáticas, lava e lubrifica a máquina; lava rolos de molha, troca os revestimentos dos rolos de molha, calça chapas, troca cilindros, prepara tintas, misturando duas ou mais cores, ajustando a sua distribuição. Pode carregar e descarregar o papel da máquina, bater o papel ou supervisionar o trabalho do batedor. Utiliza lente, micrômetro, régua, esquadro, proveta, jogos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técnico do SENAI ou equivalente. Experiência mínima de 12 (doze) a 48 (quarenta e oito) meses; IMPRESSOR CATEGORIA INDUSTRIAL: CBO 7262-15 - offset cores (formatos 4, 2 e 1) - Plana e Rotativa. Assim entendido aquele que opera máquinas de impressão offset denominadas industriais, por serem dotadas de maiores condições de registro. Exige do operador, além do conhecimento inerente a atividade da categoria comercial os de: fotolito (para saber avaliar a força da retícula, tonalidade da cor necessária ao bom desempenho do trabalho em execução), sistemas de tintagem, registro, manipulação de tintas, pulverização de talco industrial, vernizes, combinação de cores, densidade de papéis, controle do PH (pode preparar a água, misturando-a com bicromato de sódio e verificando a sua densidade), solução de umedecimento do papel, calibragem dos instrumentos, temperatura, peso, volume, cópia e retoque de chapas. Estes operadores regulam o sistema de numeração, de picote, para o correto ajuste do equipamento ao tipo de impressão a ser produzido. Pode revelar chapas, cortar papel conforme original, lavar, limpar e lubrificar o equipamento, ou confiar ao ajudante estas tarefas. Deve possuir comando e liderança de sua equipe de auxiliares, a ponto de obter destes, com perfeição e desembaraço, os serviços complementares, responsabilidade em atingir padrões de produção, qualidade e produtividade de acordo com os parâmetros comuns à atividade. Deve apresentar as primeiras provas de impressão a aprovação, acompanhamento e mantendo toda a tiragem no mesmo padrão aprovado. Deve possuir recursos necessários para resolver o repinte, enrugamento do papel e outras ocorrências que possam comprometer a qualidade e produtividade do trabalho em andamento. Utiliza lente, micrômetro, régua, esquadro, proveta, jogo de chaves, estilete, tesoura, espátula, raspador, mesa, bandeja, além da própria máquina impressora. Utiliza ainda, quando da lavagem do equipamento ou retoque de chapas, as seguintes soluções químicas: querosene, thiner, álcool, gasolina, restaurolito e os ácidos fênicos, fosfóricos e nítricos. Deve possuir a instrução básica do primeiro grau, curso do SENAI (preferencialmente com estagio nas demais áreas do curso Artes Gráficas). F-4 Experiência mínima de 48 (quarenta e oito) meses; F-2 Experiência mínima de 54 (cinquenta e quatro) meses; F-1 Experiência mínima de 54 (cinquenta e quatro) meses; AUXILIAR DE IMPRESSOR CATEGORIA INDUSTRIAL: CBO 7262-15 offset cores (formatos 4, 2 e 1) - Assim entendido aquele que ajuda a colocar as chapas no cilindro, através das instruções do impressor, prendendo-as com parafusos, medindo a espessura de cada chapa com o papel através da utilização do micrômetro. Auxilia no ajustamento da máquina, acertando o registro das chapas, o margeador automático, os rolos de tinta e de água. Utilizando-se de ferramentas diversas, da própria máquina, prepara as tintas, conforme as instruções do impressor ou verificando a composição das cores no original ou por amostras, misturando duas ou mais cores de cada tinta, batendo-as sobre o papel e comparando-as com os elementos da guia. Auxilia e acompanha a impressão, observando a sua qualidade e corrigindo, quando necessário, o margeador automático. Limpa os rolos de tinta, passando-lhes estopa com gasolina, lubrifica a máquina, enchendo sua bomba de óleo, utilizando-se de uma motolia. Limpa as chapas e os cilindros de borracha, passando-lhes uma esponja com água. Carrega o papel na máquina, retirando-o do estrado e empilhando no carro próprio da impressora. Pode trocar a água, retirando a usada e substituindo-a por nova; pode lavar os rolos de água, retirando e escovando-os no tanque com água e sabão, bem como recobrir os rolos molhadores de moletom. Pode também providenciar materiais diversos, retirando-os do almoxarifado, através de requisição autorizada pelo chefe de seção. Utiliza lente, micrômetro, jogo de chaves da máquina, esponja, estopa, balde de água, espátula, bandeja e máquina offset e motilia. Deve possuir a instrução básica do primeiro grau. Experiência mínima de 36 (trinta e seis) meses; IMPRESSOR DE CORTE E VINCO: CBO 7663-10 - (máquinas manuais) - Assim entendido aquele que coloca a forma de corte e vinco na máquina, fixando-a adequadamente e passando tinta nos fios para fazer a folha de prova (ajuste e registro da forma com a folha impressa). Troca o forro do padrão, retirando o anterior, preparando novos e prendendo-os. Nivela facas, fazendo máscara com papel e usa tinta ou carbono nos fios para que a mesma fique uma cópia perfeita da forma de corte e vinco no forro do padrão, fazendo as canaletas de acordo com as especificações de gramatura do papel ou cartão. Inicia o calçamento para nivelar a altura das facas com calços de papel, conforme a altura variável das lâminas,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forma, pinça, fibra, cola, chaves de fenda, lixa, alicate, tesoura e máquina de corte e vinco manual. Deve possuir a instrução básica do primeiro grau. Experiência mínima de 36 (trinta e seis) meses; IMPRESSOR DE CORTE E VINCO: CBO 7663-10 - (máquinas automáticas) - Assim entendido aquele que coloca a forma de corte e vinco na máquina, fixando-a adequadamente e passando tinta nos fios para fazer a folha prova (ajuste e registro da forma com a folha impressa). Troca o forro do padrão, retirando o anterior, preparando novos e prendendo-os. Nivela as facas, fazendo máscara com papel e usa tinta ou carbono nos fios, para que a mesma fique uma cópia perfeita da forma de corte e vinco no forro de padrão, fazendo-as canaletas de acordo com as especificações de gramatura do papel ou cartão. Inicia o calçamento para nivelar a altura das facas com calços de papel, conforme a altura variável das laminas, nas posições adequadas. Após as facas estarem cortando normalmente e os vincos com gravação normal para dobra; verifica o esquadro e fechamento dos cantos, para que fiquem corretos. Estando o acerto pronto, regula o margeador automático, acertando o esquadro e as chupetas de acordo com o formato do trabalho a ser executado. Coloca as varetas de fixação no conjunto de destaque, ajustando pela folha a ser vincada. Ajusta a tábua vazada, regulando a mesma até a queda parcial das aparas. Pode operar máquina de corte e vinco e registrar em uma ficha ou na guia, a produção e o tempo gasto, conforme as normas da empresa. Utiliza régua, esquadro, lápis, pinça, fibra, cola, chaves de fenda, lixa, alicate, tesoura e máquina de corte e vinco automática. Deve possuir a instrução básica do primeiro grau. Experiência mínima de 48 (quarenta e oito) meses; MONTADOR DE CORTE E VINCO: CBO 7663-25 - Assim entendido aquele que faz traçado na madeira, verificando as indicações feitas na guia, providenciando o impresso ou filme e utilizando os instrumentos de desenho necessários. Serra madeira compensada, abrindo furos com a furadeira, colocando a serra tico- tico, acionando-a e manejando a madeira conforme o traçado. Monta os fios de corte e vinco, cortando-os na medida exata, fazendo as curvas ou ângulos e encaixando-os na madeira serrada. Pode montar as facas substituindo a madeira por material tipográfico. Pode tirar prova, colocando a chapa na máquina tira-provas, colocando a cartolina sobre a mesma dando pressão. Pode idealizar os modelos de cartucho, fazendo o traçado em cartolina ou outro papel. Utiliza compasso, esquadro, régua, lápis, martelo, pinça, alicate, graminho, punção, lixa, tesoura, lima triangular, esmeril, serra tico-tico e circular, mesa ou bancada, cortador de lâmina e de fazer curva, morsa, furadeira e material tipográfico. Deve possuir a instrução básica do primeiro grau, conhecimentos específicos em processos de corte e vinco e desenho. Experiência mínima de 36 (trinta e seis) meses; FOTOLITOGRAFO RETOCADOR: CBO 7661-50 - Assim entendido aquele que retoca negativos ou máscaras (ou ambos), verificando sua tonalidade, confrontando com os originais, reforçando ou rebaixando a tonalidade, conforme a necessidade. Retoca positivos, passando protetor com pincel ou tira- linhas, diminuindo os pontos com auxílio de solução gravadora e verificando-os com o conta- fios (lente). Corrige os positivos reticulados, diminuindo ou eliminado o excesso, a fim de obter o equilíbrio de cores, conforme original e escala de cores. Corrige a seleção de cores, separando uma e eliminando as demais, cobrindo-as e fazendo contornos, a fim de conservar o fundo. Revisa as provas, examinando sua tonalidade e confrontando-as com os originais. Utiliza densitômentro, escala de cores, pincéis, tira-linhas, banheiras, copos, asfalto, verniz, raspador, fita adesiva, solução gravadora, tesoura, estilete, algodão, mesa e tanque para retoques. Deve possuir a instrução básica da 4ª (quarta) série do primeiro grau, conhecimentos específicos em composição de cores; desenho artístico; produtos químicos utilizados; instrumentos de controle; processo de impressão e fotografia e montagem de filmes. Experiência mínima de 48 (quarenta e oito) meses; FOTOLITÓGRAFO MONTADOR: CBO 7661-25 - Assim entendido aquele que faz traçados, calculando conforme o original, verificando dimensões do papel, controlando dimensões do filtro, utilizando tabelas de transformação de sistemas de medidas e prevendo folgas necessárias. Monta os filmes conforme o traçado, preparando suporte transparente, recortando os filmes de texto ou ilustração, colando sobre o suporte, segundo o esboço ou arte-final, controlando dimensões e registros (cruzes). Faz máscaras, recortando papel preto, colocando-as sobre o filme ou cobrindo o suporte transparente. Controla filmes e elimina defeitos, passando tinta opaca ou nanquim, conforme o mesmo seja chapado ou reticulado, controlando cores com aplicação de banday e retículas. Faz montagem para cópia, preparando suporte transparente sobre a mesa de montagem, recortando e colando adequadamente os filmes. Prepara filmes para inserção de imagem e pode retocar textos (em filme), raspando letras, observando com lente, consertando- as com tinta nanquim, colocando acentos, pontuações, etc. Utiliza régua e régua de punche, compasso, transferidor, lente tesoura, resquete, pincéis, tira-linhas, tintas, material transparente, fita adesiva e mesa de montagem. Deve possuir a instrução básica da 4ª (quarta) série do primeiro grau, com conhecimentos específicos em máquina repetidora, desenho, produtos químicos utilizados, fotografia, composição de cores e processo de impressão. Experiência mínima de 36 (trinta e seis) meses; COPIADOR DE CHAPAS OFFSET CBO 7661-45 - Assim entendido aquele que controla os elementos necessários, verificando a umidade e temperatura ambientes, analisando o positivo, para saber o tempo de exposição e as soluções gravadora e reveladora. Transporta a imagem para a chapa, colocando-a já sensibilizada na prensa, acertando o filme, acionando a prensa, e dando a exposição adequada. Pode repetir o processo tantas vezes quantas forem necessárias. Revela a chapa já exposta, cobrindo a imagem copiadora com papel, queimando o excesso da chapa na prensa, dando uma exposição, retirando a chapa e passando a solução reveladora em sua superfície. Grava a chapa, limpando a solução reveladora com um rodo e passando a solução gravadora durante tempo adequado. Retoca a chapa, lavando-a, passando a solução retocadora nas imperfeições, secando a superfície com algodão. Protege a gravação feita, secando-a e lavando-a novamente, cobrindo-a com asfalto ou tinta preta e goma. Utiliza escova, rodo, algodão, esponja, proveta, balança, régua, conta-o o, cronômetro, pedra de retoque, pincel, fita adesiva, prensa de vácuo, mesa de gravação, de revelação e secador. Utiliza, ainda, soluções diversas, tais como: esmaltes, tintas, talco, reveladores, álcool, gasolina, querosene, água rás, ácidos fosfórico, sulfúrico, muriático, acético, clorídrico e nítrico, cloreto de cálcio, precloreto de ferro, bicromato, amoníaco e thiner. Deve possuir a instrução básica da 6ª (sexta) série do primeiro grau, com conhecimentos específicos em máquinas e materiais usados; produtos químicos utilizados; fotografia, processos de impressão offset e desenho. Experiência mínima de 36 (trinta e seis) meses; IMPRESSOR PROVISTA: CBO 7662-50 - Assim entendido aquele que coloca a chapa na máquina, verificando a cor e prendendo-a, apertando os parafusos. Prepara a tinta, misturando duas ou mais cores e solvente, quando necessário, para obter a tonalidade desejada, conforme a amostra ou original. Prepara a chapa retirando a goma com água e esponja e o asfalto ou tinta preta com gasolina e estopa. Carrega a tinta, passando água na chapa com esponja, distribuindo a tinta na pedra e no rolo manual e passando a tinta na chapa, manual ou mecanicamente, deslocando o rolo sobre a mesma. Tira a prova, colocando o papel na máquina, acertando o registro, prendendo- o com pinça e dando pressão, deslocando o cilindro sobre o papel, manual ou mecanicamente. Pode lavar a máquina, passando gasolina com estopa. Utiliza rolo manual, espátula, chaves da máquina, esponja, algodão, mesa, máquina tira-provas ou automática. Deve possuir a instrução básica da 4ª (quarta) série do primeiro grau, com conhecimentos específicos em chapas e tintas utilizadas; composição de cores; regulagem da máquina e papeis. Experiência mínima de 60 (sessenta) meses; ENCADERNADOR: CBO 7687-05: Assim entendido aquele que confecciona livros em geral, fazendo guarda, costurando a Mão ou a máquina, colocando as juntas, fazendo o corte na guilhotina simples ou trilateral, marmorizando ou pintando, arredondando o lombo (com martelo ou na máquina), colocando cadarço, colando cabeçalhos, forrando o livro, colando o pano na lombada, lixando se necessário. Colando guarda e capa, e numerando (quando necessário). Pode confeccionar pastas, cortando o papelão, chanfrando-o, colocando as ferragens e forrando. Pode dourar capas de livros, confeccionando a chapa, preparando o clichê, colocando a capa na máquina e dando pressão, abaixando a alavanca. Pode forrar mapas, plantas, caixas, etc. Pode prensar os livros, colocando-os na prensa e dando pressão. Obs.: Nas confecções de livros, as operações citadas poderão ser feitas em série, manual ou automaticamente. Utiliza régua, cola pincel, tecido, martelo, lixa, lima, máquina de costura, máquina de arredondar manual, chanfrador e prensa. Deve possuir a instrução básica da 4ª (quarta) série do primeiro grau, com conhecimentos específicos em máquina e materiais usados, desenho, tintas utilizadas, características de tipos e processos de impressão. Experiência mínima de 48 (quarenta e oito) meses; FOTOGRAFO EM PRETO E BRANCO CBO 7664-10: Assim entendido aquele que fotografa originais preto e branco, colocando-os na posição adequada, focalizando, ampliando-os ou reduzindo-os, acertando o diafragma e dando exposição conveniente, utilizando retículas diversas, conforme o caso. Faz o acabamento dos negativos, rebaixando-os ou reforçando-os, usando as soluções correspondentes e verificando o resultado com lente. Pode preparar as chapas, sensibilizando-as, colocando-as nos chassis estes na máquina. Pode revelar as chapas, retirando os chassis, lavando as chapas, utilizando solução reveladora e verificando com lente. Pode fixar as chapas, lavando-as, na solução fixadora durante um tempo determinado e lavando-as novamente. Utiliza régua, lente, cronômetro, banheiras, retículas, soluções diversas, máquina fotográfica especial e câmara escura. Deve possuir a instrução básica da 4ª (quarta) série do primeiro grau, com conhecimentos específicos em materiais fotográficos, produtos químicos utilizados, instrumentos de medição, processo de gravação, processo de impressão e papéis. Experiência mínima de 36 (trinta e seis); IMPRESSOR DE MÁQUINA DE BATIDA CBO 7662-35: Assim entendido, aquele que opera máquina automática de impressão de batida, produzindo etiquetas a uma ou mais cores, à tinta ou película. Recebe a ordem de serviço com os clichês e artes contendo as instruções do tipo de material, formato, cores e quantidades; cola os clichês na base, observando as medidas da etiqueta; engrada os clichês e formas de corte na rama; regula a altura dos trilhos da rama para calibrar a tintagem; acerta a pressão de corte e impressão; alimenta e regula o tinteiro; regula a puxada da etiqueta; regula a tensão da bobina; regula a temperatura da máquina quando da impressão de película; lubrifica a máquina manualmente; lava a máquina manualmente para substituição de cor, conserva a máquina limpa. Utiliza máquina de batida, tintas, solventes, estopa, blanqueta, paquímetro, tesoura, espátula, chave-de-fenda, chave allem, chave fixa, chaves de cunho, adesivos dupla face e cartão timbó. Deve possuir a instrução básica de primeiro grau. Experiência mínima: 06 (seis) meses. IMPRESSOR DE MÁQUINA FLEXOGRÁFICA ROTATIVA (02, 03, 04, 05 cores) CBO 7662-35: Assim entendido, aquele que opera máquina automática de impressão flexografia rotativa, produzindo etiquetas a uma ou mais cores, à tinta. Recebe a ordem de serviço com os clichês apropriados e artes contendo as instruções do tipo de material, formato, cores e quantidades; cola os clichês na base, observando as medidas da etiqueta; coloca as formas de corte, regula a altura do cilindro para calibrar a tintagem; acerta a pressão de corte e impressão; alimenta e regula o tinteiro; regula a puxada da etiqueta; regula a tensão da bobina; lubrifica a máquina; limpa a máquina manualmente para substituição de cor, conserva a máquina limpa. Utiliza máquina flexográfica rotativa, tintas, solventes, estopa, estopa, blanqueta, paquímetro, tesoura, espátula, chave-de-fenda, chave allem, chave fixa, adesivos dupla face e cartão timbó. Deve possuir a instrução básica de primeiro grau. Experiência mínima: 24 (vinte e quatro) e 48 (quarenta e oito) meses. REBOBINADOR (a) DE ETIQUETAS FLEXOGRÁFICAS CBO 7663-05: Aquele que opera máquina rebobinadora de etiquetas, rebobinando bobinas grandes, transformando-as em pequenas bobinas, </t>
        </is>
      </c>
      <c r="L111" s="2" t="inlineStr"/>
      <c r="M111" s="2" t="inlineStr"/>
      <c r="N111" s="2" t="inlineStr">
        <is>
          <t>**Auxílio Transporte / Vale-transporte**:
Auxílio Transporte
**Refeição / Alimentação (VA/VR)**:
VALE REFEIÇÃO - R$ 506,00 Observa-se que, na conceituação dos salários profissionais mensais aqui referidos, não importa a modalidade de pagamento, neles se computando, quando for o caso, prêmio de produção e outras vantagens, bem como, evidentemente, o próprio descanso semanal remunerado; não se computa, todavia, o adicional de insalubridade, quando devido, o qual é pago em rubrica à parte. O exe...
**Seguro de Vida**:
SEGURO DE VIDA As empresas contratarão, para todos os seus empregados, uma apólice de seguro de vida em grupo, com previsão de indenização mínima de R$ 15.874,17 (quinze mil, oitocentos e setenta e quatro reais e dezessete centavos) para o caso de morte natural, e de R$ 26.456,64 (vinte e seis mil, quatrocentos e cinquenta e seis reais e sessenta e quatro centavos) em caso de morte acidental. PARÁ...
**Bolsa / Estudo**:
estudantes)
**Diárias / Ressarcimento**:
diárias de maneira que nesses dias se completem as 44 (quarenta e quatro) horas semanais, respeitados os intervalos de lei; - Extinção parcial de trabalho aos sábados: as horas correspondentes a redução do trabalho aos sábados serão da mesma forma compensadas pela prorrogação da jornada de trabalho de segunda a sexta-feira, observadas as coordenadas; básicas referidas na hipótese anterior; Competi...
**Adicional de Insalubridade**: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apenas 1/3 (um terço) da duração do respectivo curso; A ...
**Horas Extras**:
horas extraordinárias trabalhadas no dia e, de 60% (sessenta por cento) para as horas seguintes do mesmo dia. Outros Adicionais
**Descanso Semanal Remunerado**:
descanso semanal remunerado; não se computa, todavia, o adicional de insalubridade, quando devido, o qual é pago em rubrica à parte. O exercício da função, para os fins previstos no subitem b.2, será comprovado pela anotação constante da Carteira de Trabalho; na hipótese de que o empregado haja concluído o curso de aprendizagem gráfica no SENAI, este tempo será considerado para os mesmos fins, em ...
**FGTS**:
FGTS</t>
        </is>
      </c>
      <c r="O111" s="2" t="inlineStr">
        <is>
          <t>COMPENSAÇÃO DE JORNADA DE TRABALHO:</t>
        </is>
      </c>
      <c r="P111" s="2" t="inlineStr"/>
      <c r="Q111" s="2" t="inlineStr">
        <is>
          <t>penalidade prevista no artigo 613 alínea inciso VIII da CLT, em</t>
        </is>
      </c>
    </row>
    <row r="112">
      <c r="A112" s="2" t="n">
        <v>111</v>
      </c>
      <c r="B112" s="2" t="inlineStr">
        <is>
          <t>336-CCT-SINDICATO DOS EMPREGADOS EM FARMACIAS, DROGARIAS, MANIP. DE MEDIC SIMILARES DE CVEL E REGIAO OESTE -SINTEFARVEL - SINDICATO DO COMERCIO VAREJ DE PRODUTOS FARMACEUTICOS DO OES-01-06-2025.pdf</t>
        </is>
      </c>
      <c r="C112" s="2" t="inlineStr">
        <is>
          <t>SINDICATO DOS EMPREGADOS EM FARMACIAS, DROGARIAS, MANIP. DE MEDIC SIMILARES DE CVEL E REGIAO OESTE -SINTEFARVEL</t>
        </is>
      </c>
      <c r="D112" s="2" t="inlineStr">
        <is>
          <t>SINDICATO DO COMERCIO VAREJ DE PRODUTOS FARMACEUTICOS DO OESTE DO PARANA - SINFARMA</t>
        </is>
      </c>
      <c r="E112" s="2" t="inlineStr">
        <is>
          <t>03.952.075/0001-60</t>
        </is>
      </c>
      <c r="F112" s="2" t="inlineStr">
        <is>
          <t>78.689.486/0001-04</t>
        </is>
      </c>
      <c r="G112" s="2" t="inlineStr">
        <is>
          <t>01º de junho de
2025</t>
        </is>
      </c>
      <c r="H112" s="2" t="inlineStr">
        <is>
          <t>31 de maio de 2026</t>
        </is>
      </c>
      <c r="I112" s="2" t="inlineStr">
        <is>
          <t>01º de junho de
2025</t>
        </is>
      </c>
      <c r="J112" s="2" t="inlineStr"/>
      <c r="K112" s="2" t="inlineStr"/>
      <c r="L112" s="2" t="inlineStr"/>
      <c r="M112" s="2" t="inlineStr"/>
      <c r="N112" s="2" t="inlineStr">
        <is>
          <t>**Auxílio Transporte / Vale-transporte**:
Auxílio Transporte
**Plano de Saúde / Assistência Médica**:
Plano de saúde (Unimed) com valores diferenciados; b) Orientações técnicas e jurídicas (trabalhistas e tributárias); c) Convenção Coletiva de Trabalho; d) Ações Judiciais - Exemplo: Taxa de Sinistro e Taxa de Desastre da Prefeitura de Cascavel, Venda de Produtos de Conveniência pelas farmácias, etc. e) Seguro de vida; f) Auxílio Funeral através de convenio com VivaMax; h) Convenio com a ABCFARMA e...
**Plano Odontológico**:
odontológico próprio ou conveniado para atendimento a saúde em hospitais, clínicas médicas, odontológicos e laboratórios de análises clínicas, visando atender os associados e seus familiares com valores mais acessíveis aos praticados no mercado. Parágrafo Primeiro - Os convênios com a Entidade Sindical serão regidos por instrumentos específicos entre as partes e, mediante guia própria e relação ap...
**Seguro de Vida**:
Seguro de vida; f) Auxílio Funeral através de convenio com VivaMax; h) Convenio com a ABCFARMA em que o SINFARMA participa de todas as ações Judiciais referente a assuntos relacionados às nossas Farmácias; i) Desconto Cursos relacionados a atividade pela FAG. Parágrafo único: O Pagamento da Taxa da Contribuição Assistencial, também dá direito a empresa de usufruir de todos os benefícios e serviços...
**Diárias / Ressarcimento**:
diárias. Parágrafo Único: Independentemente do regime de trabalho que venha a ser adotado, o empregado terá assegurado mensalmente pelo menos um descanso semanal coincidente com o domingo, independente de gênero.
**Descanso Semanal Remunerado**:
descanso semanal coincidente com o domingo, independente de gênero.
**FGTS**:
FGTS.</t>
        </is>
      </c>
      <c r="O112" s="2" t="inlineStr">
        <is>
          <t>Compensação de Jornada</t>
        </is>
      </c>
      <c r="P112" s="2" t="inlineStr"/>
      <c r="Q112" s="2" t="inlineStr"/>
    </row>
    <row r="113">
      <c r="A113" s="2" t="n">
        <v>112</v>
      </c>
      <c r="B113" s="2" t="inlineStr">
        <is>
          <t>336-TA-CCT-SINDICATO DOS EMPREGADOS EM FARMACIAS, DROGARIAS, MANIP. DE MEDIC SIMILARES DE CVEL E REGIAO OESTE -SINTEFARVEL - SINDICATO DO COMERCIO VAREJ DE PRODUTOS FARMACEUTICOS DO OES-30-10-2025.pdf</t>
        </is>
      </c>
      <c r="C113" s="2" t="inlineStr">
        <is>
          <t>SINDICATO DOS EMPREGADOS EM FARMACIAS, DROGARIAS, MANIP. DE MEDIC SIMILARES DE CVEL E REGIAO OESTE -SINTEFARVEL</t>
        </is>
      </c>
      <c r="D113" s="2" t="inlineStr">
        <is>
          <t>SINDICATO DO COMERCIO VAREJ DE PRODUTOS FARMACEUTICOS DO OESTE DO PARANA - SINFARMA</t>
        </is>
      </c>
      <c r="E113" s="2" t="inlineStr">
        <is>
          <t>03.952.075/0001-60</t>
        </is>
      </c>
      <c r="F113" s="2" t="inlineStr">
        <is>
          <t>78.689.486/0001-04</t>
        </is>
      </c>
      <c r="G113" s="2" t="inlineStr">
        <is>
          <t>30
de outubro de 2025</t>
        </is>
      </c>
      <c r="H113" s="2" t="inlineStr">
        <is>
          <t>31 de maio de 2026</t>
        </is>
      </c>
      <c r="I113" s="2" t="inlineStr">
        <is>
          <t>30
de outubro de 2025</t>
        </is>
      </c>
      <c r="J113" s="2" t="inlineStr"/>
      <c r="K113" s="2" t="inlineStr"/>
      <c r="L113" s="2" t="inlineStr"/>
      <c r="M113" s="2" t="inlineStr"/>
      <c r="N113" s="2" t="inlineStr">
        <is>
          <t>**Diárias / Ressarcimento**:
diárias. Parágrafo Primeiro: Independentemente do regime de trabalho que venha a ser adotado, o empregado terá assegurado mensalmente pelo menos um descanso semanal coincidente com o domingo. Parágrafo Segundo: Conforme artigo 386 CLT, para as mulheres, havendo trabalho aos domingos, será organizada uma escala de revezamento quinzenal, que favoreça o repouso dominical. Disposições Gerais Outras Di...
**Descanso Semanal Remunerado**:
descanso semanal coincidente com o domingo. Parágrafo Segundo: Conforme artigo 386 CLT, para as mulheres, havendo trabalho aos domingos, será organizada uma escala de revezamento quinzenal, que favoreça o repouso dominical. Disposições Gerais Outras Disposições</t>
        </is>
      </c>
      <c r="O113" s="2" t="inlineStr">
        <is>
          <t>Compensação de Jornada</t>
        </is>
      </c>
      <c r="P113" s="2" t="inlineStr"/>
      <c r="Q113" s="2" t="inlineStr"/>
    </row>
    <row r="114">
      <c r="A114" s="2" t="n">
        <v>113</v>
      </c>
      <c r="B114" s="2" t="inlineStr">
        <is>
          <t>338-CCT-SIND DOS TRAB EM TRANSP RODOVIARIOS DE FRANC BELTRAO - FEDERACAO DOS TRABALHADORES EM TRANSP RODOV DO EST PR e Outr-01-01-2026.pdf</t>
        </is>
      </c>
      <c r="C114" s="2" t="inlineStr">
        <is>
          <t>FEDERACAO DOS TRABALHADORES EM TRANSP RODOV DO EST PR</t>
        </is>
      </c>
      <c r="D114" s="2" t="inlineStr"/>
      <c r="E114" s="2" t="inlineStr">
        <is>
          <t>81.455.248/0001-49</t>
        </is>
      </c>
      <c r="F114" s="2" t="inlineStr">
        <is>
          <t>80.251.929/0001-22</t>
        </is>
      </c>
      <c r="G114" s="2" t="inlineStr">
        <is>
          <t>01º de janeiro de
2026</t>
        </is>
      </c>
      <c r="H114" s="2" t="inlineStr">
        <is>
          <t>31 de dezembro de 2027</t>
        </is>
      </c>
      <c r="I114" s="2" t="inlineStr">
        <is>
          <t>01º de janeiro de
2026</t>
        </is>
      </c>
      <c r="J114" s="2" t="inlineStr">
        <is>
          <t>7,5%</t>
        </is>
      </c>
      <c r="K114" s="2" t="inlineStr"/>
      <c r="L114" s="2" t="inlineStr">
        <is>
          <t>CONTRIBUIÇÃO ASSISTENCIAL aqui tratada fica limitada a 1% (um porcento) mensal, calculado</t>
        </is>
      </c>
      <c r="M114" s="2" t="inlineStr"/>
      <c r="N114"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14" s="2" t="inlineStr"/>
      <c r="P114" s="2" t="inlineStr">
        <is>
          <t>aviso prévio indenizado, ficando o empregador obrigado a comprovar o pagamento.</t>
        </is>
      </c>
      <c r="Q114" s="2" t="inlineStr"/>
    </row>
    <row r="115">
      <c r="A115" s="2" t="n">
        <v>114</v>
      </c>
      <c r="B115" s="2" t="inlineStr">
        <is>
          <t>338-CCT-SIND DOS TRAB EM TRANSP RODOVIARIOS DE FRANC BELTRAO - FEDERACAO DOS TRABALHADORES EM TRANSP RODOV DO EST PR e Outr-01-02-2026.pdf</t>
        </is>
      </c>
      <c r="C115" s="2" t="inlineStr">
        <is>
          <t>FEDERACAO DOS TRABALHADORES EM TRANSP RODOV DO EST PR</t>
        </is>
      </c>
      <c r="D115" s="2" t="inlineStr"/>
      <c r="E115" s="2" t="inlineStr">
        <is>
          <t>81.455.248/0001-49</t>
        </is>
      </c>
      <c r="F115" s="2" t="inlineStr">
        <is>
          <t>80.060.635/0001-13</t>
        </is>
      </c>
      <c r="G115" s="2" t="inlineStr">
        <is>
          <t>01º de fevereiro de
2026</t>
        </is>
      </c>
      <c r="H115" s="2" t="inlineStr">
        <is>
          <t>31 de janeiro de 2028</t>
        </is>
      </c>
      <c r="I115" s="2" t="inlineStr">
        <is>
          <t>01º de fevereiro de
2026</t>
        </is>
      </c>
      <c r="J115" s="2" t="inlineStr">
        <is>
          <t>3,5%</t>
        </is>
      </c>
      <c r="K115" s="2" t="inlineStr"/>
      <c r="L115" s="2" t="inlineStr">
        <is>
          <t>CONTRIBUIÇÃO ASSISTENCIAL aqui tratada fica limitada a 1% (um porcento) mensal, calculado</t>
        </is>
      </c>
      <c r="M115" s="2" t="inlineStr"/>
      <c r="N115"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15" s="2" t="inlineStr">
        <is>
          <t>Compensação de Jornada</t>
        </is>
      </c>
      <c r="P115" s="2" t="inlineStr"/>
      <c r="Q115" s="2" t="inlineStr">
        <is>
          <t>penalidade no valor de 10% (dez por cento) do</t>
        </is>
      </c>
    </row>
    <row r="116">
      <c r="A116" s="2" t="n">
        <v>115</v>
      </c>
      <c r="B116" s="2" t="inlineStr">
        <is>
          <t>338-CCT-SIND DOS TRAB EM TRANSP RODOVIARIOS DE FRANC BELTRAO - FEDERACAO DOS TRABALHADORES EM TRANSP RODOV DO EST PR e Outr-01-03-2025.pdf</t>
        </is>
      </c>
      <c r="C116" s="2" t="inlineStr">
        <is>
          <t>FEDERACAO DOS TRABALHADORES EM TRANSP RODOV DO EST PR</t>
        </is>
      </c>
      <c r="D116" s="2" t="inlineStr"/>
      <c r="E116" s="2" t="inlineStr">
        <is>
          <t>81.455.248/0001-49</t>
        </is>
      </c>
      <c r="F116" s="2" t="inlineStr">
        <is>
          <t>10.612.279/0001-18</t>
        </is>
      </c>
      <c r="G116" s="2" t="inlineStr">
        <is>
          <t>01º de março de
2025</t>
        </is>
      </c>
      <c r="H116" s="2" t="inlineStr">
        <is>
          <t>28 de fevereiro de 2027</t>
        </is>
      </c>
      <c r="I116" s="2" t="inlineStr">
        <is>
          <t>01º de março de
2025</t>
        </is>
      </c>
      <c r="J116" s="2" t="inlineStr"/>
      <c r="K116" s="2" t="inlineStr"/>
      <c r="L116" s="2" t="inlineStr">
        <is>
          <t>CONTRIBUIÇÃO ASSISTENCIAL aqui tratada fica limitada a 1% (um porcento) mensal, calculado</t>
        </is>
      </c>
      <c r="M116" s="2" t="inlineStr"/>
      <c r="N116"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16" s="2" t="inlineStr">
        <is>
          <t>jornada de trabalho, dos empregados acolhidos pelo presente instrumento, será de 44 horas semanais, | banco de horas”, entre os empregados e a empresa interessados.</t>
        </is>
      </c>
      <c r="P116" s="2" t="inlineStr">
        <is>
          <t>aviso prévio indenizado, este ocorrerá pelos 30 (trinta) primeiros dias, sendo que o</t>
        </is>
      </c>
      <c r="Q116" s="2" t="inlineStr">
        <is>
          <t>penalidade no valor de 10% (dez por cento) do</t>
        </is>
      </c>
    </row>
    <row r="117">
      <c r="A117" s="2" t="n">
        <v>116</v>
      </c>
      <c r="B117" s="2" t="inlineStr">
        <is>
          <t>338-CCT-SIND DOS TRAB EM TRANSP RODOVIARIOS DE FRANC BELTRAO - FEDERACAO DOS TRABALHADORES EM TRANSP RODOV DO EST PR e Outr-01-06-2025.pdf</t>
        </is>
      </c>
      <c r="C117" s="2" t="inlineStr">
        <is>
          <t>FEDERACAO DOS TRABALHADORES EM TRANSP RODOV DO EST PR</t>
        </is>
      </c>
      <c r="D117" s="2" t="inlineStr"/>
      <c r="E117" s="2" t="inlineStr">
        <is>
          <t>81.455.248/0001-49</t>
        </is>
      </c>
      <c r="F117" s="2" t="inlineStr">
        <is>
          <t>84.782.846/0001-10</t>
        </is>
      </c>
      <c r="G117" s="2" t="inlineStr">
        <is>
          <t>01º de junho de
2025</t>
        </is>
      </c>
      <c r="H117" s="2" t="inlineStr">
        <is>
          <t>30 de maio de 2027</t>
        </is>
      </c>
      <c r="I117" s="2" t="inlineStr">
        <is>
          <t>01º de junho de
2025</t>
        </is>
      </c>
      <c r="J117" s="2" t="inlineStr">
        <is>
          <t>5,20%</t>
        </is>
      </c>
      <c r="K117" s="2" t="inlineStr"/>
      <c r="L117" s="2" t="inlineStr">
        <is>
          <t>CONTRIBUIÇÃO ASSISTENCIAL aqui tratada fica limitada a 1% (um porcento) mensal, calculado</t>
        </is>
      </c>
      <c r="M117" s="2" t="inlineStr"/>
      <c r="N117"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17" s="2" t="inlineStr">
        <is>
          <t>Compensação de Jornada</t>
        </is>
      </c>
      <c r="P117" s="2" t="inlineStr"/>
      <c r="Q117" s="2" t="inlineStr"/>
    </row>
    <row r="118">
      <c r="A118" s="2" t="n">
        <v>117</v>
      </c>
      <c r="B118" s="2" t="inlineStr">
        <is>
          <t>338-CCT-SIND DOS TRAB EM TRANSP RODOVIARIOS DE FRANC BELTRAO-01-01-2026.pdf</t>
        </is>
      </c>
      <c r="C118" s="2" t="inlineStr">
        <is>
          <t>FEDERACAO DOS TRABALHADORES EM TRANSP RODOV DO EST PR</t>
        </is>
      </c>
      <c r="D118" s="2" t="inlineStr"/>
      <c r="E118" s="2" t="inlineStr">
        <is>
          <t>81.455.248/0001-49</t>
        </is>
      </c>
      <c r="F118" s="2" t="inlineStr">
        <is>
          <t>80.251.929/0001-22</t>
        </is>
      </c>
      <c r="G118" s="2" t="inlineStr">
        <is>
          <t>01º de janeiro de
2026</t>
        </is>
      </c>
      <c r="H118" s="2" t="inlineStr">
        <is>
          <t>31 de dezembro de 2027</t>
        </is>
      </c>
      <c r="I118" s="2" t="inlineStr">
        <is>
          <t>01º de janeiro de
2026</t>
        </is>
      </c>
      <c r="J118" s="2" t="inlineStr">
        <is>
          <t>7,5%</t>
        </is>
      </c>
      <c r="K118" s="2" t="inlineStr"/>
      <c r="L118" s="2" t="inlineStr">
        <is>
          <t>CONTRIBUIÇÃO ASSISTENCIAL aqui tratada fica limitada a 1% (um porcento) mensal, calculado</t>
        </is>
      </c>
      <c r="M118" s="2" t="inlineStr"/>
      <c r="N118"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18" s="2" t="inlineStr"/>
      <c r="P118" s="2" t="inlineStr">
        <is>
          <t>aviso prévio indenizado, ficando o empregador obrigado a comprovar o pagamento.</t>
        </is>
      </c>
      <c r="Q118" s="2" t="inlineStr"/>
    </row>
    <row r="119">
      <c r="A119" s="2" t="n">
        <v>118</v>
      </c>
      <c r="B119" s="2" t="inlineStr">
        <is>
          <t>338-CCT-SIND DOS TRAB EM TRANSP RODOVIARIOS DE FRANC BELTRAO-01-02-2026.pdf</t>
        </is>
      </c>
      <c r="C119" s="2" t="inlineStr">
        <is>
          <t>FEDERACAO DOS TRABALHADORES EM TRANSP RODOV DO EST PR</t>
        </is>
      </c>
      <c r="D119" s="2" t="inlineStr"/>
      <c r="E119" s="2" t="inlineStr">
        <is>
          <t>81.455.248/0001-49</t>
        </is>
      </c>
      <c r="F119" s="2" t="inlineStr">
        <is>
          <t>80.060.635/0001-13</t>
        </is>
      </c>
      <c r="G119" s="2" t="inlineStr">
        <is>
          <t>01º de fevereiro de
2026</t>
        </is>
      </c>
      <c r="H119" s="2" t="inlineStr">
        <is>
          <t>31 de janeiro de 2028</t>
        </is>
      </c>
      <c r="I119" s="2" t="inlineStr">
        <is>
          <t>01º de fevereiro de
2026</t>
        </is>
      </c>
      <c r="J119" s="2" t="inlineStr">
        <is>
          <t>3,5%</t>
        </is>
      </c>
      <c r="K119" s="2" t="inlineStr"/>
      <c r="L119" s="2" t="inlineStr">
        <is>
          <t>CONTRIBUIÇÃO ASSISTENCIAL aqui tratada fica limitada a 1% (um porcento) mensal, calculado</t>
        </is>
      </c>
      <c r="M119" s="2" t="inlineStr"/>
      <c r="N119"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19" s="2" t="inlineStr">
        <is>
          <t>Compensação de Jornada</t>
        </is>
      </c>
      <c r="P119" s="2" t="inlineStr"/>
      <c r="Q119" s="2" t="inlineStr">
        <is>
          <t>penalidade no valor de 10% (dez por cento) do</t>
        </is>
      </c>
    </row>
    <row r="120">
      <c r="A120" s="2" t="n">
        <v>119</v>
      </c>
      <c r="B120" s="2" t="inlineStr">
        <is>
          <t>338-CCT-SIND DOS TRAB EM TRANSP RODOVIARIOS DE FRANC BELTRAO-01-03-2025.pdf</t>
        </is>
      </c>
      <c r="C120" s="2" t="inlineStr">
        <is>
          <t>FEDERACAO DOS TRABALHADORES EM TRANSP RODOV DO EST PR</t>
        </is>
      </c>
      <c r="D120" s="2" t="inlineStr"/>
      <c r="E120" s="2" t="inlineStr">
        <is>
          <t>81.455.248/0001-49</t>
        </is>
      </c>
      <c r="F120" s="2" t="inlineStr">
        <is>
          <t>10.612.279/0001-18</t>
        </is>
      </c>
      <c r="G120" s="2" t="inlineStr">
        <is>
          <t>01º de março de
2025</t>
        </is>
      </c>
      <c r="H120" s="2" t="inlineStr">
        <is>
          <t>28 de fevereiro de 2027</t>
        </is>
      </c>
      <c r="I120" s="2" t="inlineStr">
        <is>
          <t>01º de março de
2025</t>
        </is>
      </c>
      <c r="J120" s="2" t="inlineStr"/>
      <c r="K120" s="2" t="inlineStr"/>
      <c r="L120" s="2" t="inlineStr">
        <is>
          <t>CONTRIBUIÇÃO ASSISTENCIAL aqui tratada fica limitada a 1% (um porcento) mensal, calculado</t>
        </is>
      </c>
      <c r="M120" s="2" t="inlineStr"/>
      <c r="N120"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20" s="2" t="inlineStr">
        <is>
          <t>jornada de trabalho, dos empregados acolhidos pelo presente instrumento, será de 44 horas semanais, | banco de horas”, entre os empregados e a empresa interessados.</t>
        </is>
      </c>
      <c r="P120" s="2" t="inlineStr">
        <is>
          <t>aviso prévio indenizado, este ocorrerá pelos 30 (trinta) primeiros dias, sendo que o</t>
        </is>
      </c>
      <c r="Q120" s="2" t="inlineStr">
        <is>
          <t>penalidade no valor de 10% (dez por cento) do</t>
        </is>
      </c>
    </row>
    <row r="121">
      <c r="A121" s="2" t="n">
        <v>120</v>
      </c>
      <c r="B121" s="2" t="inlineStr">
        <is>
          <t>338-CCT-SIND DOS TRAB EM TRANSP RODOVIARIOS DE FRANC BELTRAO-01-05-2025.pdf</t>
        </is>
      </c>
      <c r="C121" s="2" t="inlineStr">
        <is>
          <t>SIND DOS MOTORISTAS, CONDUT. DE VEIC. RODOV URBANOS E EM GERAL, TRAB.TRANSP. ROD. PBCO</t>
        </is>
      </c>
      <c r="D121" s="2" t="inlineStr">
        <is>
          <t>LUNARDI; SIND DOS TRAB EM TRANSP RODOVIARIOS DE FRANC BELTRAO</t>
        </is>
      </c>
      <c r="E121" s="2" t="inlineStr">
        <is>
          <t>80.869.894/0001-90</t>
        </is>
      </c>
      <c r="F121" s="2" t="inlineStr">
        <is>
          <t>78.686.888/0001-55</t>
        </is>
      </c>
      <c r="G121" s="2" t="inlineStr">
        <is>
          <t>01º de maio de 2025</t>
        </is>
      </c>
      <c r="H121" s="2" t="inlineStr">
        <is>
          <t>30 de abril de 2027</t>
        </is>
      </c>
      <c r="I121" s="2" t="inlineStr">
        <is>
          <t>01º de maio de 2025</t>
        </is>
      </c>
      <c r="J121" s="2" t="inlineStr"/>
      <c r="K121" s="2"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L121" s="2" t="inlineStr"/>
      <c r="M121" s="2" t="inlineStr"/>
      <c r="N121" s="2"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O121" s="2" t="inlineStr">
        <is>
          <t>Compensação de Jornada</t>
        </is>
      </c>
      <c r="P121" s="2" t="inlineStr"/>
      <c r="Q121" s="2" t="inlineStr"/>
    </row>
    <row r="122">
      <c r="A122" s="2" t="n">
        <v>121</v>
      </c>
      <c r="B122" s="2" t="inlineStr">
        <is>
          <t>338-CCT-SIND DOS TRAB EM TRANSP RODOVIARIOS DE FRANC BELTRAO-01-06-2025.pdf</t>
        </is>
      </c>
      <c r="C122" s="2" t="inlineStr">
        <is>
          <t>FEDERACAO DOS TRABALHADORES EM TRANSP RODOV DO EST PR</t>
        </is>
      </c>
      <c r="D122" s="2" t="inlineStr"/>
      <c r="E122" s="2" t="inlineStr">
        <is>
          <t>81.455.248/0001-49</t>
        </is>
      </c>
      <c r="F122" s="2" t="inlineStr">
        <is>
          <t>84.782.846/0001-10</t>
        </is>
      </c>
      <c r="G122" s="2" t="inlineStr">
        <is>
          <t>01º de junho de
2025</t>
        </is>
      </c>
      <c r="H122" s="2" t="inlineStr">
        <is>
          <t>30 de maio de 2027</t>
        </is>
      </c>
      <c r="I122" s="2" t="inlineStr">
        <is>
          <t>01º de junho de
2025</t>
        </is>
      </c>
      <c r="J122" s="2" t="inlineStr">
        <is>
          <t>5,20%</t>
        </is>
      </c>
      <c r="K122" s="2" t="inlineStr"/>
      <c r="L122" s="2" t="inlineStr">
        <is>
          <t>CONTRIBUIÇÃO ASSISTENCIAL aqui tratada fica limitada a 1% (um porcento) mensal, calculado</t>
        </is>
      </c>
      <c r="M122" s="2" t="inlineStr"/>
      <c r="N122"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22" s="2" t="inlineStr">
        <is>
          <t>Compensação de Jornada</t>
        </is>
      </c>
      <c r="P122" s="2" t="inlineStr"/>
      <c r="Q122" s="2" t="inlineStr"/>
    </row>
    <row r="123">
      <c r="A123" s="2" t="n">
        <v>122</v>
      </c>
      <c r="B123" s="2" t="inlineStr">
        <is>
          <t>338-CCT-SIND DOS TRAB EM TRANSP RODOVIARIOS DE FRANC BELTRAO-01-07-2024.pdf</t>
        </is>
      </c>
      <c r="C123" s="2" t="inlineStr">
        <is>
          <t>SINDICATO DOS MOTORISTAS, CONDUTORES DE VEICULOS RODOVIARIOS URBANOS E EM GERAL, TRABALHADORES EM TRANSPORTES RODOVIARIOS DE DOIS VIZINHOS - SINTRODOV</t>
        </is>
      </c>
      <c r="D123" s="2" t="inlineStr">
        <is>
          <t>GANASSINI; SIND DOS MOTORISTAS, CONDUT. DE VEIC. RODOV URBANOS E EM GERAL, TRAB.TRANSP. ROD. PBCO</t>
        </is>
      </c>
      <c r="E123" s="2" t="inlineStr">
        <is>
          <t>78.687.431/0001-65</t>
        </is>
      </c>
      <c r="F123" s="2" t="inlineStr">
        <is>
          <t>80.869.894/0001-90</t>
        </is>
      </c>
      <c r="G123" s="2" t="inlineStr">
        <is>
          <t>01º de julho de 2024</t>
        </is>
      </c>
      <c r="H123" s="2" t="inlineStr">
        <is>
          <t>30 de junho de 2026</t>
        </is>
      </c>
      <c r="I123" s="2" t="inlineStr">
        <is>
          <t>01º de julho de 2024</t>
        </is>
      </c>
      <c r="J123" s="2" t="inlineStr">
        <is>
          <t>4,50%</t>
        </is>
      </c>
      <c r="K123" s="2" t="inlineStr"/>
      <c r="L123"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123" s="2" t="inlineStr"/>
      <c r="N123"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123" s="2" t="inlineStr">
        <is>
          <t>compensação de
jornada.</t>
        </is>
      </c>
      <c r="P123" s="2" t="inlineStr"/>
      <c r="Q123" s="2" t="inlineStr"/>
    </row>
    <row r="124">
      <c r="A124" s="2" t="n">
        <v>123</v>
      </c>
      <c r="B124" s="2" t="inlineStr">
        <is>
          <t>338-CCT-SIND DOS TRAB EM TRANSP RODOVIARIOS DE FRANC BELTRAO-01-07-2025.pdf</t>
        </is>
      </c>
      <c r="C124" s="2" t="inlineStr">
        <is>
          <t>SIND DOS MOTORISTAS, CONDUT. DE VEIC. RODOV URBANOS E EM GERAL, TRAB.TRANSP. ROD. PBCO</t>
        </is>
      </c>
      <c r="D124" s="2" t="inlineStr">
        <is>
          <t>LUNARDI; SIND DOS TRAB EM TRANSP RODOVIARIOS DE FRANC BELTRAO</t>
        </is>
      </c>
      <c r="E124" s="2" t="inlineStr">
        <is>
          <t>80.869.894/0001-90</t>
        </is>
      </c>
      <c r="F124" s="2" t="inlineStr">
        <is>
          <t>78.686.888/0001-55</t>
        </is>
      </c>
      <c r="G124" s="2" t="inlineStr">
        <is>
          <t>01º de julho de 2025</t>
        </is>
      </c>
      <c r="H124" s="2" t="inlineStr">
        <is>
          <t>30 de junho de 2027</t>
        </is>
      </c>
      <c r="I124" s="2" t="inlineStr">
        <is>
          <t>01º de julho de 2025</t>
        </is>
      </c>
      <c r="J124" s="2" t="inlineStr"/>
      <c r="K124" s="2" t="inlineStr"/>
      <c r="L124" s="2" t="inlineStr"/>
      <c r="M124" s="2" t="inlineStr"/>
      <c r="N124" s="2"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124" s="2" t="inlineStr">
        <is>
          <t>compensação de jornada.</t>
        </is>
      </c>
      <c r="P124" s="2" t="inlineStr"/>
      <c r="Q124" s="2" t="inlineStr"/>
    </row>
    <row r="125">
      <c r="A125" s="2" t="n">
        <v>124</v>
      </c>
      <c r="B125" s="2" t="inlineStr">
        <is>
          <t>338-CCT-SIND DOS TRAB EM TRANSP RODOVIARIOS DE FRANC BELTRAO-01-08-2025.pdf</t>
        </is>
      </c>
      <c r="C125" s="2" t="inlineStr">
        <is>
          <t>FEDERACAO DOS TRABALHADORES EM TRANSP RODOV DO EST PR</t>
        </is>
      </c>
      <c r="D125" s="2" t="inlineStr"/>
      <c r="E125" s="2" t="inlineStr">
        <is>
          <t>81.455.248/0001-49</t>
        </is>
      </c>
      <c r="F125" s="2" t="inlineStr">
        <is>
          <t>84.782.846/0001-10</t>
        </is>
      </c>
      <c r="G125" s="2" t="inlineStr">
        <is>
          <t>01º de agosto de
2025</t>
        </is>
      </c>
      <c r="H125" s="2" t="inlineStr">
        <is>
          <t>31 de julho de 2027</t>
        </is>
      </c>
      <c r="I125" s="2" t="inlineStr">
        <is>
          <t>01º de agosto de
2025</t>
        </is>
      </c>
      <c r="J125" s="2" t="inlineStr">
        <is>
          <t>5,13%</t>
        </is>
      </c>
      <c r="K125" s="2" t="inlineStr"/>
      <c r="L125" s="2"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125" s="2" t="inlineStr"/>
      <c r="N125" s="2"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125" s="2" t="inlineStr">
        <is>
          <t>banco de horas.</t>
        </is>
      </c>
      <c r="P125" s="2" t="inlineStr"/>
      <c r="Q125" s="2" t="inlineStr"/>
    </row>
    <row r="126">
      <c r="A126" s="2" t="n">
        <v>125</v>
      </c>
      <c r="B126" s="2" t="inlineStr">
        <is>
          <t>338-CCT-SIND DOS TRAB EM TRANSP RODOVIARIOS DE FRANC BELTRAO-01-10-2025.pdf</t>
        </is>
      </c>
      <c r="C126" s="2" t="inlineStr">
        <is>
          <t>FEDERACAO DOS TRABALHADORES EM TRANSP RODOV DO EST PR</t>
        </is>
      </c>
      <c r="D126" s="2" t="inlineStr"/>
      <c r="E126" s="2" t="inlineStr">
        <is>
          <t>81.455.248/0001-49</t>
        </is>
      </c>
      <c r="F126" s="2" t="inlineStr">
        <is>
          <t>81.878.845/0001-86</t>
        </is>
      </c>
      <c r="G126" s="2" t="inlineStr">
        <is>
          <t>01º de outubro de
2025</t>
        </is>
      </c>
      <c r="H126" s="2" t="inlineStr">
        <is>
          <t>30 de setembro de 2026</t>
        </is>
      </c>
      <c r="I126" s="2" t="inlineStr">
        <is>
          <t>01º de outubro de
2025</t>
        </is>
      </c>
      <c r="J126" s="2" t="inlineStr">
        <is>
          <t>5,76%</t>
        </is>
      </c>
      <c r="K126" s="2" t="inlineStr"/>
      <c r="L126" s="2" t="inlineStr">
        <is>
          <t>CONTRIBUIÇÃO ASSISTENCIAL aqui tratada fica limitada a 1% (um porcento) mensal, calculado</t>
        </is>
      </c>
      <c r="M126" s="2" t="inlineStr"/>
      <c r="N126"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126" s="2" t="inlineStr">
        <is>
          <t>jornada de trabalho 12x36 horas fica | banco de horas, através de tíquete, cartão ou pecúnia (dinheiro). As Entidades que concedem vale</t>
        </is>
      </c>
      <c r="P126" s="2" t="inlineStr"/>
      <c r="Q126" s="2" t="inlineStr"/>
    </row>
    <row r="127">
      <c r="A127" s="2" t="n">
        <v>126</v>
      </c>
      <c r="B127" s="2" t="inlineStr">
        <is>
          <t>338-TA-CCT-SIND DOS TRAB EM TRANSP RODOVIARIOS DE FRANC BELTRAO-01-07-2025.pdf</t>
        </is>
      </c>
      <c r="C127" s="2" t="inlineStr">
        <is>
          <t>SIND DOS TRAB EM TRANSP RODOVIARIOS DE FRANC BELTRAO</t>
        </is>
      </c>
      <c r="D127" s="2" t="inlineStr">
        <is>
          <t>G.I. TRANSPORTES E LOGISTICA LTDA</t>
        </is>
      </c>
      <c r="E127" s="2" t="inlineStr">
        <is>
          <t>78.686.888/0001-55</t>
        </is>
      </c>
      <c r="F127" s="2" t="inlineStr">
        <is>
          <t>24.182.969/0001-99</t>
        </is>
      </c>
      <c r="G127" s="2" t="inlineStr">
        <is>
          <t>01º de
julho de 2025</t>
        </is>
      </c>
      <c r="H127" s="2" t="inlineStr">
        <is>
          <t>30 de junho de 2026</t>
        </is>
      </c>
      <c r="I127" s="2" t="inlineStr">
        <is>
          <t>01º de
julho de 2025</t>
        </is>
      </c>
      <c r="J127" s="2" t="inlineStr">
        <is>
          <t>5,18%</t>
        </is>
      </c>
      <c r="K127" s="2" t="inlineStr"/>
      <c r="L127" s="2" t="inlineStr"/>
      <c r="M127" s="2" t="inlineStr"/>
      <c r="N127" s="2" t="inlineStr">
        <is>
          <t>**Seguro de Vida**:
Seguro de Vida
**Diárias / Ressarcimento**:
diárias de viagens, em valor não inferior a R$ 111,40 (cento e onze reais e quarenta centavos, partir de 1º de Agosto de 2025, nas seguintes proporções: Almoço: R$ 38,50 Jantar: R$ 38,50 Café: R$ 17,20 Pernoite: R$ 17,20 Parágrafo Primeiro: A empresa poderá optar pelo reembolso das despesas desta
**Descanso Semanal Remunerado**:
repouso semanal remunerado das comissões e das horas extras trabalhadas. Considerando a referida modificação, no mês de agosto/2025 as comissões serão computadas considerando o faturamento das viagens realizadas a partir do dia 26 do mês de julho até o dia 31 do mês de agosto, com pagamento até o quinto dia útil do mês posterior ao trabalhado. Gratificações, Adicionais, Auxílios e Outros 13º Salár...</t>
        </is>
      </c>
      <c r="O127" s="2" t="inlineStr"/>
      <c r="P127" s="2" t="inlineStr"/>
      <c r="Q127" s="2" t="inlineStr"/>
    </row>
    <row r="128">
      <c r="A128" s="2" t="n">
        <v>127</v>
      </c>
      <c r="B128" s="2" t="inlineStr">
        <is>
          <t>342-CCT-SINDICATO DOS EMPREGADOS NO COMERCIO DE PONTA PORA - FEDERACAO DO COMERCIO DE BENS, SERVICOS E TURISMO DO ESTADO-01-11-2024.pdf</t>
        </is>
      </c>
      <c r="C128" s="2" t="inlineStr">
        <is>
          <t>SINDICATO DOS EMPREGADOS NO COMERCIO DE PONTA PORA</t>
        </is>
      </c>
      <c r="D128" s="2" t="inlineStr">
        <is>
          <t>FEDERACAO DO COMERCIO DE BENS, SERVICOS E TURISMO DO ESTADO DE MATO GROSSO DO</t>
        </is>
      </c>
      <c r="E128" s="2" t="inlineStr">
        <is>
          <t>01.988.948/0001-60</t>
        </is>
      </c>
      <c r="F128" s="2" t="inlineStr">
        <is>
          <t>15.461.676/0001-50</t>
        </is>
      </c>
      <c r="G128" s="2" t="inlineStr">
        <is>
          <t>01º de novembro de
2024</t>
        </is>
      </c>
      <c r="H128" s="2" t="inlineStr">
        <is>
          <t>31 de outubro de 2026</t>
        </is>
      </c>
      <c r="I128" s="2" t="inlineStr">
        <is>
          <t>01º de novembro de
2024</t>
        </is>
      </c>
      <c r="J128" s="2" t="inlineStr">
        <is>
          <t>5,75%</t>
        </is>
      </c>
      <c r="K128" s="2" t="inlineStr"/>
      <c r="L128" s="2" t="inlineStr"/>
      <c r="M128" s="2" t="inlineStr"/>
      <c r="N128" s="2"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O128" s="2" t="inlineStr">
        <is>
          <t>BANCO DE HORAS</t>
        </is>
      </c>
      <c r="P128" s="2" t="inlineStr">
        <is>
          <t>aviso prévio indenizado pela empresa ou pelo empregado conforme Súmula 5 do TST.</t>
        </is>
      </c>
      <c r="Q128" s="2" t="inlineStr"/>
    </row>
    <row r="129">
      <c r="A129" s="2" t="n">
        <v>128</v>
      </c>
      <c r="B129" s="2" t="inlineStr">
        <is>
          <t>342-CCT-SINDICATO DOS EMPREGADOS NO COMERCIO DE PONTA PORA-01-11-2024.pdf</t>
        </is>
      </c>
      <c r="C129" s="2" t="inlineStr">
        <is>
          <t>SINDICATO DOS EMPREGADOS NO COMERCIO DE PONTA PORA</t>
        </is>
      </c>
      <c r="D129" s="2" t="inlineStr">
        <is>
          <t>FEDERACAO DO COMERCIO DE BENS, SERVICOS E TURISMO DO ESTADO DE MATO GROSSO DO</t>
        </is>
      </c>
      <c r="E129" s="2" t="inlineStr">
        <is>
          <t>01.988.948/0001-60</t>
        </is>
      </c>
      <c r="F129" s="2" t="inlineStr">
        <is>
          <t>15.461.676/0001-50</t>
        </is>
      </c>
      <c r="G129" s="2" t="inlineStr">
        <is>
          <t>01º de novembro de
2024</t>
        </is>
      </c>
      <c r="H129" s="2" t="inlineStr">
        <is>
          <t>31 de outubro de 2026</t>
        </is>
      </c>
      <c r="I129" s="2" t="inlineStr">
        <is>
          <t>01º de novembro de
2024</t>
        </is>
      </c>
      <c r="J129" s="2" t="inlineStr">
        <is>
          <t>5,75%</t>
        </is>
      </c>
      <c r="K129" s="2" t="inlineStr"/>
      <c r="L129" s="2" t="inlineStr"/>
      <c r="M129" s="2" t="inlineStr"/>
      <c r="N129" s="2" t="inlineStr">
        <is>
          <t>**Refeição / Alimentação (VA/VR)**:
VALE REFEIÇÃO OU VALE ALIMENTAÇÃO As empresas que naturalmente ou por vontade própria fornecem Vale Refeição ou Vale Alimentação, não poderão pagar valor inferior a R$ 20,00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
**FGTS**:
FGTS).</t>
        </is>
      </c>
      <c r="O129" s="2" t="inlineStr">
        <is>
          <t>BANCO DE HORAS</t>
        </is>
      </c>
      <c r="P129" s="2" t="inlineStr">
        <is>
          <t>aviso prévio indenizado pela empresa ou pelo empregado conforme Súmula 5 do TST.</t>
        </is>
      </c>
      <c r="Q129" s="2" t="inlineStr"/>
    </row>
    <row r="130">
      <c r="A130" s="2" t="n">
        <v>129</v>
      </c>
      <c r="B130" s="2" t="inlineStr">
        <is>
          <t>342-TA-CCT-SINDICATO DOS EMPREGADOS NO COMERCIO DE PONTA PORA - FEDERACAO DO COMERCIO DE BENS, SERVICOS E TURISMO DO ESTADO-01-11-2025.pdf</t>
        </is>
      </c>
      <c r="C130" s="2" t="inlineStr">
        <is>
          <t>SINDICATO DOS EMPREGADOS NO COMERCIO DE PONTA PORA</t>
        </is>
      </c>
      <c r="D130" s="2" t="inlineStr">
        <is>
          <t>FEDERACAO DO COMERCIO DE BENS, SERVICOS E TURISMO DO ESTADO</t>
        </is>
      </c>
      <c r="E130" s="2" t="inlineStr">
        <is>
          <t>01.988.948/0001-60</t>
        </is>
      </c>
      <c r="F130" s="2" t="inlineStr">
        <is>
          <t>15.461.676/0001-50</t>
        </is>
      </c>
      <c r="G130" s="2" t="inlineStr">
        <is>
          <t>01º
de novembro de 2025</t>
        </is>
      </c>
      <c r="H130" s="2" t="inlineStr">
        <is>
          <t>31 de outubro de 2026</t>
        </is>
      </c>
      <c r="I130" s="2" t="inlineStr">
        <is>
          <t>01º
de novembro de 2025</t>
        </is>
      </c>
      <c r="J130" s="2" t="inlineStr">
        <is>
          <t>7,5%</t>
        </is>
      </c>
      <c r="K130" s="2" t="inlineStr"/>
      <c r="L130" s="2" t="inlineStr"/>
      <c r="M130" s="2" t="inlineStr"/>
      <c r="N130" s="2"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O130" s="2" t="inlineStr">
        <is>
          <t>BANCO DE HORAS</t>
        </is>
      </c>
      <c r="P130" s="2" t="inlineStr">
        <is>
          <t>aviso prévio indenizado pela empresa ou pelo empregado conforme Súmula 5 do TST.</t>
        </is>
      </c>
      <c r="Q130" s="2" t="inlineStr"/>
    </row>
    <row r="131">
      <c r="A131" s="2" t="n">
        <v>130</v>
      </c>
      <c r="B131" s="2" t="inlineStr">
        <is>
          <t>342-TA-CCT-SINDICATO DOS EMPREGADOS NO COMERCIO DE PONTA PORA-01-11-2025.pdf</t>
        </is>
      </c>
      <c r="C131" s="2" t="inlineStr">
        <is>
          <t>SINDICATO DOS EMPREGADOS NO COMERCIO DE PONTA PORA</t>
        </is>
      </c>
      <c r="D131" s="2" t="inlineStr">
        <is>
          <t>FEDERACAO DO COMERCIO DE BENS, SERVICOS E TURISMO DO ESTADO</t>
        </is>
      </c>
      <c r="E131" s="2" t="inlineStr">
        <is>
          <t>01.988.948/0001-60</t>
        </is>
      </c>
      <c r="F131" s="2" t="inlineStr">
        <is>
          <t>15.461.676/0001-50</t>
        </is>
      </c>
      <c r="G131" s="2" t="inlineStr">
        <is>
          <t>01º
de novembro de 2025</t>
        </is>
      </c>
      <c r="H131" s="2" t="inlineStr">
        <is>
          <t>31 de outubro de 2026</t>
        </is>
      </c>
      <c r="I131" s="2" t="inlineStr">
        <is>
          <t>01º
de novembro de 2025</t>
        </is>
      </c>
      <c r="J131" s="2" t="inlineStr">
        <is>
          <t>7,5%</t>
        </is>
      </c>
      <c r="K131" s="2" t="inlineStr"/>
      <c r="L131" s="2" t="inlineStr"/>
      <c r="M131" s="2" t="inlineStr"/>
      <c r="N131" s="2" t="inlineStr">
        <is>
          <t>**Refeição / Alimentação (VA/VR)**:
VALE REFEIÇÃO OU VALE ALIMENTAÇÃO As empresas que naturalmente ou por vontade própria fornecem Vale Refeição ou Vale Alimentação, não poderão pagar valor inferior a R$ 21,00 por cada dia trabalhado. Contrato de Trabalho – Admissão, Demissão, Modalidades Desligamento/Demissão
**Plano Odontológico**:
odontológico. PARAGRAFO SEGUNDO - Os Empregados poderão estender o Plano de Assistência Odontológica para os seus dependentes, mediante solicitação e autorização expressa do desconto do mesmo valor mensal de R$ 27,52 (vinte e sete reais e cincoenta e dois centavos), por dependente. Rol Ampliado + Complementares de Prótese 1) Plano com cobertura nacional para todos os procedimentos cobertos, sem ta...
**Bolsa / Estudo**:
estudantes, desde que avisado o empregador até 72 (setenta e duas) horas posterior as provas, mediante comprovação dos respectivos estabelecimentos de ensino. PARÁGRAFO SEGUNDO: As empresas não poderão descontar os dias de eventuais faltas de seus empregados, quando impossibilitado de comparecer ao serviço em razão de greve no transporte coletivo. PARÁGRAFO TERCEIRO: Fica garantido o direito de ir...
**Descanso Semanal Remunerado**:
repouso semanal remunerado. Faltas
**Abono de Faltas**:
ABONO DE FALTAS Assegura-se o direito à ausência remunerada de 4 (quatro) dias por ano ao empregado, para levar o médico, filho menor ou dependente previdenciário de até (seis) anos de idade, ou filho portador de necessidades especiais, de qualquer idade, mediante comprovação no prazo de 48 horas. PARÁGRAFO PRIMEIRO: Fica concedida licença remunerada nos dias de prova do Enem e/ou vestibular aos e...</t>
        </is>
      </c>
      <c r="O131" s="2" t="inlineStr">
        <is>
          <t>BANCO DE HORAS</t>
        </is>
      </c>
      <c r="P131" s="2" t="inlineStr">
        <is>
          <t>aviso prévio indenizado pela empresa ou pelo empregado conforme Súmula 5 do TST.</t>
        </is>
      </c>
      <c r="Q131" s="2" t="inlineStr"/>
    </row>
    <row r="132">
      <c r="A132" s="2" t="n">
        <v>131</v>
      </c>
      <c r="B132" s="2" t="inlineStr">
        <is>
          <t>343-CCT-SIND DOS EMP EM TURISMO EHOSPITALIDADE DE FCO BELTRAO - FEDERACAO DO COMERCIO DE BENS, SERVICOS E TURISMO DO PARANA-01-06-2025.pdf</t>
        </is>
      </c>
      <c r="C132" s="2" t="inlineStr">
        <is>
          <t>SIND DOS EMP EM TURISMO EHOSPITALIDADE DE FCO BELTRAO</t>
        </is>
      </c>
      <c r="D132" s="2" t="inlineStr">
        <is>
          <t>FEDERACAO DO COMERCIO DE BENS, SERVICOS E TURISMO DO PARANA</t>
        </is>
      </c>
      <c r="E132" s="2" t="inlineStr">
        <is>
          <t>78.686.946/0001-40</t>
        </is>
      </c>
      <c r="F132" s="2" t="inlineStr">
        <is>
          <t>02.818.811/0001-20</t>
        </is>
      </c>
      <c r="G132" s="2" t="inlineStr">
        <is>
          <t>01º de junho de
2025</t>
        </is>
      </c>
      <c r="H132" s="2" t="inlineStr">
        <is>
          <t>31 de maio de 2026</t>
        </is>
      </c>
      <c r="I132" s="2" t="inlineStr">
        <is>
          <t>01º de junho de
2025</t>
        </is>
      </c>
      <c r="J132" s="2" t="inlineStr">
        <is>
          <t>6,20%</t>
        </is>
      </c>
      <c r="K132" s="2" t="inlineStr">
        <is>
          <t>A) Aos empregados nas funções de CONTÍNUOS E OFFICE-BOYS,: R$ 1.898,00
B) Aos empregados VENDEDORES E COMISSIONADOS: R$ 2.048,00
C) Aos empregados que exerçam suas atividades em COPA, COZINHA, LIMPEZA, VIGIA, GUARDA e PORTEIROS: R$ 1.950,00
D) Aos DEMAIS EMPREGADOS: R$ 2.048,00
E) Aos lavadores(a) e passadores(a) de lavanderias: R$ 2.048,00</t>
        </is>
      </c>
      <c r="L132" s="2"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M132" s="2" t="inlineStr"/>
      <c r="N132" s="2" t="inlineStr">
        <is>
          <t>**Auxílio Transporte / Vale-transporte**:
Auxílio Transporte
**Refeição / Alimentação (VA/VR)**:
refeição fornecida pelo empregador ou a um pagamento equivalente a R$ 23,36 (vinte e três reais e trinta e seis centavos), por dia em que ocorrer tal situação. Tal parcela terá natureza indenizatória.
**Auxílio Creche**:
Auxílio Creche
**Plano Odontológico**:
odontológicos, assistência jurídica aos trabalhadores e atendimento na Sede de Francisco Beltrão e subsede de Dois Vizinhos, entre outros benefícios voltados para a assistência aos membros da respectiva categoria representada por esta Entidade Sindical. PARÁGRAFO SEGUNDO: Em não havendo o recolhimento nos prazos antes previsto, quando efetuado será na forma do art. 600 da CLT. PARÁGRAFO TERCEIRO: ...
**Seguro de Vida**:
Seguro de Vida
**Bolsa / Estudo**:
ESTUDANTES [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Férias e Licenças Duração e Concessão de Férias
**FGTS**:
FGTS.</t>
        </is>
      </c>
      <c r="O132" s="2" t="inlineStr">
        <is>
          <t>jornada de trabalho de 220 horas mensais. | Banco de
Horas.</t>
        </is>
      </c>
      <c r="P132" s="2" t="inlineStr">
        <is>
          <t>aviso prévio indenizado, serão atualizadas com base no INPC (Índice</t>
        </is>
      </c>
      <c r="Q132" s="2" t="inlineStr">
        <is>
          <t>penalidade prevista na cláusula 51ª</t>
        </is>
      </c>
    </row>
    <row r="133">
      <c r="A133" s="2" t="n">
        <v>132</v>
      </c>
      <c r="B133" s="2" t="inlineStr">
        <is>
          <t>343-CCT-SIND DOS EMP EM TURISMO EHOSPITALIDADE DE FCO BELTRAO - SINDICATO DAS EMPRESAS DE TURISMO NO ESTADO DO PARANA-01-06-2025.pdf</t>
        </is>
      </c>
      <c r="C133" s="2" t="inlineStr">
        <is>
          <t>SIND DOS EMP EM TURISMO EHOSPITALIDADE DE FCO BELTRAO</t>
        </is>
      </c>
      <c r="D133" s="2" t="inlineStr">
        <is>
          <t>SINDICATO DAS EMPRESAS DE TURISMO NO ESTADO DO PARANA</t>
        </is>
      </c>
      <c r="E133" s="2" t="inlineStr">
        <is>
          <t>78.686.946/0001-40</t>
        </is>
      </c>
      <c r="F133" s="2" t="inlineStr">
        <is>
          <t>77.797.942/0001-77</t>
        </is>
      </c>
      <c r="G133" s="2" t="inlineStr">
        <is>
          <t>01º de junho de 2025</t>
        </is>
      </c>
      <c r="H133" s="2" t="inlineStr">
        <is>
          <t>31
de maio de 2026</t>
        </is>
      </c>
      <c r="I133" s="2" t="inlineStr">
        <is>
          <t>01º de junho de 2025</t>
        </is>
      </c>
      <c r="J133" s="2" t="inlineStr">
        <is>
          <t>7,5%</t>
        </is>
      </c>
      <c r="K133" s="2" t="inlineStr">
        <is>
          <t>Aos empregados nas funções de CONTÍNUOS E OFFICE-BOYS: R$ 1.794,17
Aos empregados VENDEDORES E COMISSIONADOS: R$ 2.071,54</t>
        </is>
      </c>
      <c r="L133" s="2" t="inlineStr">
        <is>
          <t>CONTRIBUIÇÃO NEGOCIAL DOS EMPREGADOS Conforme deliberação da Assembleia Geral dos Trabalhadores que autorizou expressamente o desconto, e considerando os benefícios conseguidos através de negociação com a classe patronal previstos na Convenção Coletiva, como o reajuste dos salários, pisos e outros b</t>
        </is>
      </c>
      <c r="M133" s="2" t="inlineStr"/>
      <c r="N133" s="2" t="inlineStr">
        <is>
          <t>**Auxílio Transporte / Vale-transporte**:
Auxílio Transporte
**Refeição / Alimentação (VA/VR)**:
vale refeição, deverão ser satisfeitas conjuntamente com os salários devidos imediatamente ao mês subsequente ao da respectiva homologação, sem atualização monetária, até o quinto dia útil do mesmo. PARÁGRAFO QUINTO - PAGAMENTO DE ABONO SALARIAL: Os empregadores pagarão a todos os seus empregados um ABONO SALARIAL, referente a negociação coletiva desta Convenção Coletiva de Trabalho 2025/2026, no ...
**Auxílio Creche**:
Auxílio Creche
**Plano Odontológico**:
ODONTOLÓGICO EM REDE CREDENCIADA POR BENEFÍCIO SIM MEIO DE EMPRESA ODONTOLÓGICO TERCEIRIZADA. OS SERVIÇOS NÃO SUPORTADOS POR ESTE CONVÊNIO TERÃO VALORES ABAIXO DA MÉDIA DE MERCADO. SERÁ DISPONIBILIZADO CONSULTAS MÉDICAS ON-LINE COM CLÍNICO GERAL AOS TRABALHADORES, SEUS FAMILIARES E PESSOAS DE SEU RELACIONAMENTO, SEM NENHUM CUSTO, PROPORCIONANDO UM ATENDIMENTO ÁGIL, MODERNO E DESBUROCRATIZADO, ATRA...
**Seguro de Vida**:
Seguro de Vida
**Bolsa / Estudo**:
ESTUDANTES É vedada a prorrogação de horário de trabalho aos empregados estudantes que comprovem a sua situação escolar, desde que expressem o seu desinteresse pela citada prorrogação. PARÁGRAFO ÚNICO: Abonar-se-á falta aos empregados estudantes e vestibulandos, quando comprovarem prestação de exames. Intervalos para Descanso
**PPR / Participação nos Lucros**:
PPRA, TRABALHO ANÁLISES TÉCNICAS, EXAMES COMPLEMENTARES E DEMAIS LAUDOS GANHAM DESCONTOS SIGNIFICATIVOS. CASO A EMPRESA OPTE EM PERMANECER COM SUA CLÍNICA PRESTADORA DE SERVIÇOS; OS EXAMES CLÍNICOS – ASO, SERÃO REEMBOLSADOS EM VALORES, A SER DEFINIDO PELAS ENTIDADES CONVENENTES, BASTANDO ENCAMINHAR OS EXAMES EFETUADOS ATRAVÉS DA PLATAFORMA ONLINE. SERÁ DISPONIBILIZADO APLICATIVO SEM CONSUMO DA BEN...
**Adicional Noturno**:
Adicional Noturno
**Descanso Semanal Remunerado**:
repouso semanal remunerado. PARÁGRAFO PRIMEIRO: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**Abono de Faltas**:
ABONO DE FALTAS EM CASO DE GREVE DE ÔNIBUS Em caso de greve do transporte coletivo, decorrentes, cabendo aos mesmos, todavia, envidar todos os esforços necessários para chegar ao local de trabalho, devendo comunicar ao empregador em caso de impossibilidade.
**FGTS**:
FGTS. Pagamento de Salário – Formas e Prazos</t>
        </is>
      </c>
      <c r="O133" s="2" t="inlineStr">
        <is>
          <t>jornada
de trabalho de 220 horas mensais. | Banco de Horas.</t>
        </is>
      </c>
      <c r="P133" s="2" t="inlineStr">
        <is>
          <t>aviso prévio indenizado, serão atualizadas com base no INPC (Índice Nacional</t>
        </is>
      </c>
      <c r="Q133" s="2" t="inlineStr"/>
    </row>
    <row r="134">
      <c r="A134" s="2" t="n">
        <v>133</v>
      </c>
      <c r="B134" s="2" t="inlineStr">
        <is>
          <t>343-TA-CCT-SIND DOS EMP EM TURISMO EHOSPITALIDADE DE FCO BELTRAO-01-01-2026.pdf</t>
        </is>
      </c>
      <c r="C134" s="2" t="inlineStr">
        <is>
          <t>SIND DOS EMP EM TURISMO EHOSPITALIDADE DE FCO BELTRAO</t>
        </is>
      </c>
      <c r="D134" s="2" t="inlineStr">
        <is>
          <t>MITRA DIOCESANA DE PALMAS</t>
        </is>
      </c>
      <c r="E134" s="2" t="inlineStr">
        <is>
          <t>78.686.946/0001-40</t>
        </is>
      </c>
      <c r="F134" s="2" t="inlineStr">
        <is>
          <t>75.661.264/0001-95</t>
        </is>
      </c>
      <c r="G134" s="2" t="inlineStr">
        <is>
          <t>01º de
janeiro de 2026</t>
        </is>
      </c>
      <c r="H134" s="2" t="inlineStr">
        <is>
          <t>31 de dezembro de 2026</t>
        </is>
      </c>
      <c r="I134" s="2" t="inlineStr">
        <is>
          <t>01º de
janeiro de 2026</t>
        </is>
      </c>
      <c r="J134" s="2" t="inlineStr"/>
      <c r="K134" s="2" t="inlineStr"/>
      <c r="L134" s="2" t="inlineStr"/>
      <c r="M134" s="2" t="inlineStr"/>
      <c r="N134" s="2" t="inlineStr">
        <is>
          <t>**Refeição / Alimentação (VA/VR)**:
VALE ALIMENTAÇÃO A empresa fornecerá mensalmente a todos os seus empregados vale alimentação, proporcional à jornada detrabalho, conforme disposto nos parágrafos desta
**Auxílio Creche**:
Creches, Orfanatos, Casas de Menores), nos municípios de Pato Branco, Clevelândia, Coronel Vivida, Itapejara D'oeste, Mangueirinha, Marinópolis, São João, São Jorge D'oeste, Verê e Vitorino, do Estado do Paraná, com abrangência territorial em Ampére/PR, Barracão/PR, Capanema/PR, Dois Vizinhos/PR, Francisco Beltrão/PR, Marmeleiro/PR, Nova Prata do Iguaçu/PR, Pérola d'Oeste/PR, Planalto/PR, Pranchit...
**Plano de Saúde / Assistência Médica**:
PLANO DE SAÚDE Sendo a MITRA associada à “Associação Empresarial de Francisco Beltrão – ACEFB”, será ofertada a possibilidade de adesão individual a cada colaborador aos seguintes planos de saúde: a) Plano de Saúde UNIMED / ACEFB – Francisco Beltrão, na modalidade Coletivo Empresarial com abrangência grupo de Estados (PR, SC e RS) com coparticipação (Segmentação: Ambulatorial + Hospitalar + Obstet...
**Seguro de Vida**:
Seguro de Vida
**Cesta Básica**:
CESTA BÁSICA R$ 594,00 1 Afastamento por doença por período de 60 dias ou superior COMPLEMENTO DE Afastamento por doença por período de 90 REMUNERAÇÃO POR dias ou superior. AFASTAMENTO R$ 1.188,00 1 REEMBOLSO CRECHE R$ 756,00 1 Matrícula do(a) filho(a) em creche particular. CASAMENTO R$ 1.080,00 1 Em caso de casamento do titular. APOSENTADORIA R$ 2.160,00 1 Aposentadoria do titular. REEMBOLSO MATE...
**Diárias / Ressarcimento**:
diárias em caso de hospitalar por acidente Limitado a 30 diárias internamento por causas acidentais. Assistência Check up 1x na vigência Atendimento por clinico geral com Médico solicitação de exames médicos para o titular. Sorteio Mensal R$ 7.500,00 Sorteio mensal pela loteria federal no valor Líquido de R$ 7.500,00 PARÁGRAFO SEGUNDO -As entidades signatárias deste instrumento, estabeleceram parc...
**FGTS**:
FGTS e nas Verbas Rescisórias, logo não constituirá Salário In Natura. PARÁGRAFO QUARTO – FORMA DE PAGAMENTO: Esse benefício será fornecido por meio de cartãomagnético ou meio similar de pagamento, de acordo com a legislação vigente. PARÁGRAFO QUINTO – DATA DE FORNECIMENTO: O valor referente que contém no cartão multibenefíciosserá disponibilizado aos empregados até o 5º (quinto) dia útil de cada ...</t>
        </is>
      </c>
      <c r="O134" s="2" t="inlineStr"/>
      <c r="P134" s="2" t="inlineStr"/>
      <c r="Q134" s="2" t="inlineStr"/>
    </row>
    <row r="135">
      <c r="A135" s="2" t="n">
        <v>134</v>
      </c>
      <c r="B135" s="2" t="inlineStr">
        <is>
          <t>346-CCT-SINDICATO DOS TECNICOS DE SEG DO TRAB NO EST DO PARANA - FEDERACAO DAS INDUSTRIAS DO ESTADO DO PARANA-01-01-2026.pdf</t>
        </is>
      </c>
      <c r="C135" s="2" t="inlineStr">
        <is>
          <t>FEDERACAO DAS INDUSTRIAS DO ESTADO DO PARANA</t>
        </is>
      </c>
      <c r="D135" s="2" t="inlineStr">
        <is>
          <t>SINDICATO DOS TECNICOS DE SEG DO TRAB NO EST DO PARANA</t>
        </is>
      </c>
      <c r="E135" s="2" t="inlineStr">
        <is>
          <t>76.709.898/0001-33</t>
        </is>
      </c>
      <c r="F135" s="2" t="inlineStr">
        <is>
          <t>76.085.893/0001-87</t>
        </is>
      </c>
      <c r="G135" s="2" t="inlineStr">
        <is>
          <t>01º de janeiro de
2026</t>
        </is>
      </c>
      <c r="H135" s="2" t="inlineStr">
        <is>
          <t>31 de dezembro de 2026</t>
        </is>
      </c>
      <c r="I135" s="2" t="inlineStr">
        <is>
          <t>01º de janeiro de
2026</t>
        </is>
      </c>
      <c r="J135" s="2" t="inlineStr"/>
      <c r="K135" s="2" t="inlineStr"/>
      <c r="L135"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5" s="2" t="inlineStr"/>
      <c r="N135" s="2" t="inlineStr">
        <is>
          <t>Não especificado</t>
        </is>
      </c>
      <c r="O135" s="2" t="inlineStr"/>
      <c r="P135" s="2" t="inlineStr"/>
      <c r="Q135" s="2" t="inlineStr"/>
    </row>
    <row r="136">
      <c r="A136" s="2" t="n">
        <v>135</v>
      </c>
      <c r="B136" s="2" t="inlineStr">
        <is>
          <t>346-CCT-SINDICATO DOS TECNICOS DE SEG DO TRAB NO EST DO PARANA - SIND DAS IND METAL MECANICAS E DE MAT ELETR DE MARINGA-01-01-2026.pdf</t>
        </is>
      </c>
      <c r="C136" s="2" t="inlineStr">
        <is>
          <t>SIND DAS IND METAL MECANICAS E DE MAT ELETR DE MARINGA</t>
        </is>
      </c>
      <c r="D136" s="2" t="inlineStr">
        <is>
          <t>SINDICATO DOS TECNICOS DE SEG DO TRAB NO EST DO PARANA</t>
        </is>
      </c>
      <c r="E136" s="2" t="inlineStr">
        <is>
          <t>80.292.386/0001-91</t>
        </is>
      </c>
      <c r="F136" s="2" t="inlineStr">
        <is>
          <t>76.085.893/0001-87</t>
        </is>
      </c>
      <c r="G136" s="2" t="inlineStr">
        <is>
          <t>01º de janeiro de
2026</t>
        </is>
      </c>
      <c r="H136" s="2" t="inlineStr">
        <is>
          <t>31 de dezembro de 2026</t>
        </is>
      </c>
      <c r="I136" s="2" t="inlineStr">
        <is>
          <t>01º de janeiro de
2026</t>
        </is>
      </c>
      <c r="J136" s="2" t="inlineStr"/>
      <c r="K136" s="2" t="inlineStr"/>
      <c r="L136"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6" s="2" t="inlineStr"/>
      <c r="N136" s="2" t="inlineStr">
        <is>
          <t>Não especificado</t>
        </is>
      </c>
      <c r="O136" s="2" t="inlineStr"/>
      <c r="P136" s="2" t="inlineStr"/>
      <c r="Q136" s="2" t="inlineStr"/>
    </row>
    <row r="137">
      <c r="A137" s="2" t="n">
        <v>136</v>
      </c>
      <c r="B137" s="2" t="inlineStr">
        <is>
          <t>346-CCT-SINDICATO DOS TECNICOS DE SEG DO TRAB NO EST DO PARANA - SIND INDS DE CARNES E DERIVADOS NO EST DO PR-01-01-2026.pdf</t>
        </is>
      </c>
      <c r="C137" s="2" t="inlineStr">
        <is>
          <t>SIND INDS DE CARNES E DERIVADOS NO EST DO PR</t>
        </is>
      </c>
      <c r="D137" s="2" t="inlineStr">
        <is>
          <t>SINDICATO DOS TECNICOS DE SEG DO TRAB NO EST DO PARANA</t>
        </is>
      </c>
      <c r="E137" s="2" t="inlineStr">
        <is>
          <t>75.042.291/0001-80</t>
        </is>
      </c>
      <c r="F137" s="2" t="inlineStr">
        <is>
          <t>76.085.893/0001-87</t>
        </is>
      </c>
      <c r="G137" s="2" t="inlineStr">
        <is>
          <t>01º de janeiro de
2026</t>
        </is>
      </c>
      <c r="H137" s="2" t="inlineStr">
        <is>
          <t>31 de dezembro de 2026</t>
        </is>
      </c>
      <c r="I137" s="2" t="inlineStr">
        <is>
          <t>01º de janeiro de
2026</t>
        </is>
      </c>
      <c r="J137" s="2" t="inlineStr"/>
      <c r="K137" s="2" t="inlineStr"/>
      <c r="L137"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7" s="2" t="inlineStr"/>
      <c r="N137" s="2" t="inlineStr">
        <is>
          <t>Não especificado</t>
        </is>
      </c>
      <c r="O137" s="2" t="inlineStr"/>
      <c r="P137" s="2" t="inlineStr"/>
      <c r="Q137" s="2" t="inlineStr"/>
    </row>
    <row r="138">
      <c r="A138" s="2" t="n">
        <v>137</v>
      </c>
      <c r="B138" s="2" t="inlineStr">
        <is>
          <t>346-CCT-SINDICATO DOS TECNICOS DE SEG DO TRAB NO EST DO PARANA - SINDICATO DA INDUSTRIA DA CONSTRUCAO CIVIL DO PARANA NORTE-01-01-2026.pdf</t>
        </is>
      </c>
      <c r="C138" s="2" t="inlineStr">
        <is>
          <t>SINDICATO DA INDUSTRIA DA CONSTRUCAO CIVIL DO PARANA NORTE</t>
        </is>
      </c>
      <c r="D138" s="2" t="inlineStr">
        <is>
          <t>SINDICATO DOS TECNICOS DE SEG DO TRAB NO EST DO PARANA</t>
        </is>
      </c>
      <c r="E138" s="2" t="inlineStr"/>
      <c r="F138" s="2" t="inlineStr">
        <is>
          <t>76.085.893/0001-87</t>
        </is>
      </c>
      <c r="G138" s="2" t="inlineStr">
        <is>
          <t>01º de janeiro de
2026</t>
        </is>
      </c>
      <c r="H138" s="2" t="inlineStr">
        <is>
          <t>31 de dezembro de 2026</t>
        </is>
      </c>
      <c r="I138" s="2" t="inlineStr">
        <is>
          <t>01º de janeiro de
2026</t>
        </is>
      </c>
      <c r="J138" s="2" t="inlineStr"/>
      <c r="K138" s="2" t="inlineStr"/>
      <c r="L138"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8" s="2" t="inlineStr"/>
      <c r="N138" s="2" t="inlineStr">
        <is>
          <t>Não especificado</t>
        </is>
      </c>
      <c r="O138" s="2" t="inlineStr"/>
      <c r="P138" s="2" t="inlineStr"/>
      <c r="Q138" s="2" t="inlineStr"/>
    </row>
    <row r="139">
      <c r="A139" s="2" t="n">
        <v>138</v>
      </c>
      <c r="B139" s="2" t="inlineStr">
        <is>
          <t>346-CCT-SINDICATO DOS TECNICOS DE SEG DO TRAB NO EST DO PARANA - SINDICATO DAS INDUSTRIAS DA MADEIRA DE IMBITUVA-01-01-2026.pdf</t>
        </is>
      </c>
      <c r="C139" s="2" t="inlineStr">
        <is>
          <t>SINDICATO DAS INDUSTRIAS DA MADEIRA DE IMBITUVA</t>
        </is>
      </c>
      <c r="D139" s="2" t="inlineStr">
        <is>
          <t>SINDICATO DOS TECNICOS DE SEG DO TRAB NO EST DO PARANA</t>
        </is>
      </c>
      <c r="E139" s="2" t="inlineStr">
        <is>
          <t>01.003.955/0001-65</t>
        </is>
      </c>
      <c r="F139" s="2" t="inlineStr">
        <is>
          <t>76.085.893/0001-87</t>
        </is>
      </c>
      <c r="G139" s="2" t="inlineStr">
        <is>
          <t>01º de janeiro de
2026</t>
        </is>
      </c>
      <c r="H139" s="2" t="inlineStr">
        <is>
          <t>31 de dezembro de 2026</t>
        </is>
      </c>
      <c r="I139" s="2" t="inlineStr">
        <is>
          <t>01º de janeiro de
2026</t>
        </is>
      </c>
      <c r="J139" s="2" t="inlineStr"/>
      <c r="K139" s="2" t="inlineStr"/>
      <c r="L139"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39" s="2" t="inlineStr"/>
      <c r="N139" s="2" t="inlineStr">
        <is>
          <t>Não especificado</t>
        </is>
      </c>
      <c r="O139" s="2" t="inlineStr"/>
      <c r="P139" s="2" t="inlineStr"/>
      <c r="Q139" s="2" t="inlineStr"/>
    </row>
    <row r="140">
      <c r="A140" s="2" t="n">
        <v>139</v>
      </c>
      <c r="B140" s="2" t="inlineStr">
        <is>
          <t>346-CCT-SINDICATO DOS TECNICOS DE SEG DO TRAB NO EST DO PARANA - SINDICATO DAS INDUSTRIAS DE BEBIDAS DO ESTADO DO PARANA - SI-01-01-2026.pdf</t>
        </is>
      </c>
      <c r="C140" s="2" t="inlineStr">
        <is>
          <t>SINDICATO DAS INDUSTRIAS DE BEBIDAS DO ESTADO DO PARANA - SINDIBEBIDAS - PR</t>
        </is>
      </c>
      <c r="D140" s="2" t="inlineStr">
        <is>
          <t>SINDICATO DOS TECNICOS DE SEG DO TRAB NO EST DO PARANA</t>
        </is>
      </c>
      <c r="E140" s="2" t="inlineStr">
        <is>
          <t>76.695.733/0001-50</t>
        </is>
      </c>
      <c r="F140" s="2" t="inlineStr">
        <is>
          <t>76.085.893/0001-87</t>
        </is>
      </c>
      <c r="G140" s="2" t="inlineStr">
        <is>
          <t>01º de janeiro de
2026</t>
        </is>
      </c>
      <c r="H140" s="2" t="inlineStr">
        <is>
          <t>31 de dezembro de 2026</t>
        </is>
      </c>
      <c r="I140" s="2" t="inlineStr">
        <is>
          <t>01º de janeiro de
2026</t>
        </is>
      </c>
      <c r="J140" s="2" t="inlineStr"/>
      <c r="K140" s="2" t="inlineStr"/>
      <c r="L140"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0" s="2" t="inlineStr"/>
      <c r="N140" s="2" t="inlineStr">
        <is>
          <t>Não especificado</t>
        </is>
      </c>
      <c r="O140" s="2" t="inlineStr"/>
      <c r="P140" s="2" t="inlineStr"/>
      <c r="Q140" s="2" t="inlineStr"/>
    </row>
    <row r="141">
      <c r="A141" s="2" t="n">
        <v>140</v>
      </c>
      <c r="B141" s="2" t="inlineStr">
        <is>
          <t>346-CCT-SINDICATO DOS TECNICOS DE SEG DO TRAB NO EST DO PARANA - SINDICATO DAS INDUSTRIAS DE SERRARIAS, CARPINTARIAS, TANOARI-01-01-2026.pdf</t>
        </is>
      </c>
      <c r="C141" s="2" t="inlineStr">
        <is>
          <t>SINDICATO DAS INDUSTRIAS DE SERRARIAS, CARPINTARIAS, TANOARI</t>
        </is>
      </c>
      <c r="D141" s="2" t="inlineStr">
        <is>
          <t>SINDICATO DOS TECNICOS DE SEG DO TRAB NO EST DO PARANA</t>
        </is>
      </c>
      <c r="E141" s="2" t="inlineStr"/>
      <c r="F141" s="2" t="inlineStr">
        <is>
          <t>76.085.893/0001-87</t>
        </is>
      </c>
      <c r="G141" s="2" t="inlineStr">
        <is>
          <t>01º de janeiro de
2026</t>
        </is>
      </c>
      <c r="H141" s="2" t="inlineStr">
        <is>
          <t>31 de dezembro de 2026</t>
        </is>
      </c>
      <c r="I141" s="2" t="inlineStr">
        <is>
          <t>01º de janeiro de
2026</t>
        </is>
      </c>
      <c r="J141" s="2" t="inlineStr"/>
      <c r="K141" s="2" t="inlineStr"/>
      <c r="L141"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1" s="2" t="inlineStr"/>
      <c r="N141" s="2" t="inlineStr">
        <is>
          <t>Não especificado</t>
        </is>
      </c>
      <c r="O141" s="2" t="inlineStr"/>
      <c r="P141" s="2" t="inlineStr"/>
      <c r="Q141" s="2" t="inlineStr"/>
    </row>
    <row r="142">
      <c r="A142" s="2" t="n">
        <v>141</v>
      </c>
      <c r="B142" s="2" t="inlineStr">
        <is>
          <t>346-CCT-SINDICATO DOS TECNICOS DE SEG DO TRAB NO EST DO PARANA - SINDICATO DAS INDUSTRIAS METALURGICAS, MECANICAS E DO MATERI-01-01-2026.pdf</t>
        </is>
      </c>
      <c r="C142" s="2" t="inlineStr">
        <is>
          <t>SINDICATO DAS INDUSTRIAS METALURGICAS, MECANICAS E DO MATERI</t>
        </is>
      </c>
      <c r="D142" s="2" t="inlineStr">
        <is>
          <t>SINDICATO DOS TECNICOS DE SEG DO TRAB NO EST DO PARANA</t>
        </is>
      </c>
      <c r="E142" s="2" t="inlineStr"/>
      <c r="F142" s="2" t="inlineStr">
        <is>
          <t>76.085.893/0001-87</t>
        </is>
      </c>
      <c r="G142" s="2" t="inlineStr">
        <is>
          <t>01º de janeiro de
2026</t>
        </is>
      </c>
      <c r="H142" s="2" t="inlineStr">
        <is>
          <t>31 de dezembro de 2026</t>
        </is>
      </c>
      <c r="I142" s="2" t="inlineStr">
        <is>
          <t>01º de janeiro de
2026</t>
        </is>
      </c>
      <c r="J142" s="2" t="inlineStr"/>
      <c r="K142" s="2" t="inlineStr"/>
      <c r="L142"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2" s="2" t="inlineStr"/>
      <c r="N142" s="2" t="inlineStr">
        <is>
          <t>Não especificado</t>
        </is>
      </c>
      <c r="O142" s="2" t="inlineStr"/>
      <c r="P142" s="2" t="inlineStr"/>
      <c r="Q142" s="2" t="inlineStr"/>
    </row>
    <row r="143">
      <c r="A143" s="2" t="n">
        <v>142</v>
      </c>
      <c r="B143" s="2" t="inlineStr">
        <is>
          <t>346-CCT-SINDICATO DOS TECNICOS DE SEG DO TRAB NO EST DO PARANA - SINDICATO EMP SERV CONT ASSES PERICIAS INF PESQ EST PR-01-06-2025.pdf</t>
        </is>
      </c>
      <c r="C143" s="2" t="inlineStr">
        <is>
          <t>SINDICATO EMP SERV CONT ASSES PERICIAS INF PESQ EST PR</t>
        </is>
      </c>
      <c r="D143" s="2" t="inlineStr">
        <is>
          <t>SINDICATO DOS TECNICOS DE SEG DO TRAB NO EST DO PARANA</t>
        </is>
      </c>
      <c r="E143" s="2" t="inlineStr">
        <is>
          <t>81.047.508/0001-47</t>
        </is>
      </c>
      <c r="F143" s="2" t="inlineStr">
        <is>
          <t>76.085.893/0001-87</t>
        </is>
      </c>
      <c r="G143" s="2" t="inlineStr">
        <is>
          <t>01º de junho de
2025</t>
        </is>
      </c>
      <c r="H143" s="2" t="inlineStr">
        <is>
          <t>31 de maio de 2026</t>
        </is>
      </c>
      <c r="I143" s="2" t="inlineStr">
        <is>
          <t>01º de junho de
2025</t>
        </is>
      </c>
      <c r="J143" s="2" t="inlineStr">
        <is>
          <t>16,8%</t>
        </is>
      </c>
      <c r="K143" s="2" t="inlineStr"/>
      <c r="L143" s="2" t="inlineStr">
        <is>
          <t>1% - CONTRIBUIÇÃO NEGOCIAL Fica instituída, nos termos do art. 513, alínea “e” da CLT e por aprovação da Assembleia Geral dos trabalhadores, a Contribuição Negocial de 1% (um por cento) sobre o piso salarial vigente. Parágrafo primeiro. As empresas descontarão a Contribuição Negocial, nos moldes acima de...</t>
        </is>
      </c>
      <c r="M143" s="2" t="inlineStr"/>
      <c r="N143"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43" s="2" t="inlineStr">
        <is>
          <t>COMPENSAÇÃO DE JORNADA DE</t>
        </is>
      </c>
      <c r="P143" s="2" t="inlineStr"/>
      <c r="Q143" s="2" t="inlineStr"/>
    </row>
    <row r="144">
      <c r="A144" s="2" t="n">
        <v>143</v>
      </c>
      <c r="B144" s="2" t="inlineStr">
        <is>
          <t>346-CCT-SINDICATO DOS TECNICOS DE SEG DO TRAB NO EST DO PARANA-01-01-2026.pdf</t>
        </is>
      </c>
      <c r="C144" s="2" t="inlineStr">
        <is>
          <t>FEDERACAO DAS INDUSTRIAS DO ESTADO DO PARANA</t>
        </is>
      </c>
      <c r="D144" s="2" t="inlineStr">
        <is>
          <t>SINDICATO DOS TECNICOS DE SEG DO TRAB NO EST DO PARANA</t>
        </is>
      </c>
      <c r="E144" s="2" t="inlineStr">
        <is>
          <t>76.709.898/0001-33</t>
        </is>
      </c>
      <c r="F144" s="2" t="inlineStr">
        <is>
          <t>76.085.893/0001-87</t>
        </is>
      </c>
      <c r="G144" s="2" t="inlineStr">
        <is>
          <t>01º de janeiro de
2026</t>
        </is>
      </c>
      <c r="H144" s="2" t="inlineStr">
        <is>
          <t>31 de dezembro de 2026</t>
        </is>
      </c>
      <c r="I144" s="2" t="inlineStr">
        <is>
          <t>01º de janeiro de
2026</t>
        </is>
      </c>
      <c r="J144" s="2" t="inlineStr"/>
      <c r="K144" s="2" t="inlineStr"/>
      <c r="L144" s="2" t="inlineStr">
        <is>
          <t>3% - Contribuição Negocial/Associativa, 3% (três por cento) do salário normativo. PARÁGRAFO PRIMEIRO: Os valores descontados deverão ser depositados na Caixa Econômica Federal, Agência nº 0377, Conta nº 349-8, até o 10º (décimo) dia útil do mês imediatamente subsequente ao desconto, a favor do Sindicato ...</t>
        </is>
      </c>
      <c r="M144" s="2" t="inlineStr"/>
      <c r="N144" s="2" t="inlineStr">
        <is>
          <t>Não especificado</t>
        </is>
      </c>
      <c r="O144" s="2" t="inlineStr"/>
      <c r="P144" s="2" t="inlineStr"/>
      <c r="Q144" s="2" t="inlineStr"/>
    </row>
    <row r="145">
      <c r="A145" s="2" t="n">
        <v>144</v>
      </c>
      <c r="B145" s="2" t="inlineStr">
        <is>
          <t>347-CCT-SINDICATO DOS MOTORISTAS, CONDUTORES DE VEICULOS RODOVIARIOS URBANOS E EM GERAL, TRABALHADORES EM TRANSPORTES RODOVIARIOS DE DOIS VIZINHOS - SINTRODOV - FEDERACAO DOS TRABALHADORES EM TRANSP RODOV DO EST PR e Outr-01-01-2026.pdf</t>
        </is>
      </c>
      <c r="C145" s="2" t="inlineStr">
        <is>
          <t>FEDERACAO DOS TRABALHADORES EM TRANSP RODOV DO EST PR</t>
        </is>
      </c>
      <c r="D145" s="2" t="inlineStr"/>
      <c r="E145" s="2" t="inlineStr">
        <is>
          <t>81.455.248/0001-49</t>
        </is>
      </c>
      <c r="F145" s="2" t="inlineStr">
        <is>
          <t>80.251.929/0001-22</t>
        </is>
      </c>
      <c r="G145" s="2" t="inlineStr">
        <is>
          <t>01º de janeiro de
2026</t>
        </is>
      </c>
      <c r="H145" s="2" t="inlineStr">
        <is>
          <t>31 de dezembro de 2027</t>
        </is>
      </c>
      <c r="I145" s="2" t="inlineStr">
        <is>
          <t>01º de janeiro de
2026</t>
        </is>
      </c>
      <c r="J145" s="2" t="inlineStr">
        <is>
          <t>7,5%</t>
        </is>
      </c>
      <c r="K145" s="2" t="inlineStr"/>
      <c r="L145" s="2" t="inlineStr">
        <is>
          <t>CONTRIBUIÇÃO ASSISTENCIAL aqui tratada fica limitada a 1% (um porcento) mensal, calculado</t>
        </is>
      </c>
      <c r="M145" s="2" t="inlineStr"/>
      <c r="N145"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45" s="2" t="inlineStr"/>
      <c r="P145" s="2" t="inlineStr">
        <is>
          <t>aviso prévio indenizado, ficando o empregador obrigado a comprovar o pagamento.</t>
        </is>
      </c>
      <c r="Q145" s="2" t="inlineStr"/>
    </row>
    <row r="146">
      <c r="A146" s="2" t="n">
        <v>145</v>
      </c>
      <c r="B146" s="2" t="inlineStr">
        <is>
          <t>347-CCT-SINDICATO DOS MOTORISTAS, CONDUTORES DE VEICULOS RODOVIARIOS URBANOS E EM GERAL, TRABALHADORES EM TRANSPORTES RODOVIARIOS DE DOIS VIZINHOS - SINTRODOV - FEDERACAO DOS TRABALHADORES EM TRANSP RODOV DO EST PR e Outr-01-02-2026.pdf</t>
        </is>
      </c>
      <c r="C146" s="2" t="inlineStr">
        <is>
          <t>FEDERACAO DOS TRABALHADORES EM TRANSP RODOV DO EST PR</t>
        </is>
      </c>
      <c r="D146" s="2" t="inlineStr"/>
      <c r="E146" s="2" t="inlineStr">
        <is>
          <t>81.455.248/0001-49</t>
        </is>
      </c>
      <c r="F146" s="2" t="inlineStr">
        <is>
          <t>80.060.635/0001-13</t>
        </is>
      </c>
      <c r="G146" s="2" t="inlineStr">
        <is>
          <t>01º de fevereiro de
2026</t>
        </is>
      </c>
      <c r="H146" s="2" t="inlineStr">
        <is>
          <t>31 de janeiro de 2028</t>
        </is>
      </c>
      <c r="I146" s="2" t="inlineStr">
        <is>
          <t>01º de fevereiro de
2026</t>
        </is>
      </c>
      <c r="J146" s="2" t="inlineStr">
        <is>
          <t>3,5%</t>
        </is>
      </c>
      <c r="K146" s="2" t="inlineStr"/>
      <c r="L146" s="2" t="inlineStr">
        <is>
          <t>CONTRIBUIÇÃO ASSISTENCIAL aqui tratada fica limitada a 1% (um porcento) mensal, calculado</t>
        </is>
      </c>
      <c r="M146" s="2" t="inlineStr"/>
      <c r="N146"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46" s="2" t="inlineStr">
        <is>
          <t>Compensação de Jornada</t>
        </is>
      </c>
      <c r="P146" s="2" t="inlineStr"/>
      <c r="Q146" s="2" t="inlineStr">
        <is>
          <t>penalidade no valor de 10% (dez por cento) do</t>
        </is>
      </c>
    </row>
    <row r="147">
      <c r="A147" s="2" t="n">
        <v>146</v>
      </c>
      <c r="B147" s="2" t="inlineStr">
        <is>
          <t>347-CCT-SINDICATO DOS MOTORISTAS, CONDUTORES DE VEICULOS RODOVIARIOS URBANOS E EM GERAL, TRABALHADORES EM TRANSPORTES RODOVIARIOS DE DOIS VIZINHOS - SINTRODOV - FEDERACAO DOS TRABALHADORES EM TRANSP RODOV DO EST PR e Outr-01-03-2025.pdf</t>
        </is>
      </c>
      <c r="C147" s="2" t="inlineStr">
        <is>
          <t>FEDERACAO DOS TRABALHADORES EM TRANSP RODOV DO EST PR</t>
        </is>
      </c>
      <c r="D147" s="2" t="inlineStr"/>
      <c r="E147" s="2" t="inlineStr">
        <is>
          <t>81.455.248/0001-49</t>
        </is>
      </c>
      <c r="F147" s="2" t="inlineStr">
        <is>
          <t>10.612.279/0001-18</t>
        </is>
      </c>
      <c r="G147" s="2" t="inlineStr">
        <is>
          <t>01º de março de
2025</t>
        </is>
      </c>
      <c r="H147" s="2" t="inlineStr">
        <is>
          <t>28 de fevereiro de 2027</t>
        </is>
      </c>
      <c r="I147" s="2" t="inlineStr">
        <is>
          <t>01º de março de
2025</t>
        </is>
      </c>
      <c r="J147" s="2" t="inlineStr"/>
      <c r="K147" s="2" t="inlineStr"/>
      <c r="L147" s="2" t="inlineStr">
        <is>
          <t>CONTRIBUIÇÃO ASSISTENCIAL aqui tratada fica limitada a 1% (um porcento) mensal, calculado</t>
        </is>
      </c>
      <c r="M147" s="2" t="inlineStr"/>
      <c r="N147"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47" s="2" t="inlineStr">
        <is>
          <t>jornada de trabalho, dos empregados acolhidos pelo presente instrumento, será de 44 horas semanais, | banco de horas”, entre os empregados e a empresa interessados.</t>
        </is>
      </c>
      <c r="P147" s="2" t="inlineStr">
        <is>
          <t>aviso prévio indenizado, este ocorrerá pelos 30 (trinta) primeiros dias, sendo que o</t>
        </is>
      </c>
      <c r="Q147" s="2" t="inlineStr">
        <is>
          <t>penalidade no valor de 10% (dez por cento) do</t>
        </is>
      </c>
    </row>
    <row r="148">
      <c r="A148" s="2" t="n">
        <v>147</v>
      </c>
      <c r="B148" s="2" t="inlineStr">
        <is>
          <t>347-CCT-SINDICATO DOS MOTORISTAS, CONDUTORES DE VEICULOS RODOVIARIOS URBANOS E EM GERAL, TRABALHADORES EM TRANSPORTES RODOVIARIOS DE DOIS VIZINHOS - SINTRODOV - FEDERACAO DOS TRABALHADORES EM TRANSP RODOV DO EST PR e Outr-01-06-2025.pdf</t>
        </is>
      </c>
      <c r="C148" s="2" t="inlineStr">
        <is>
          <t>FEDERACAO DOS TRABALHADORES EM TRANSP RODOV DO EST PR</t>
        </is>
      </c>
      <c r="D148" s="2" t="inlineStr"/>
      <c r="E148" s="2" t="inlineStr">
        <is>
          <t>81.455.248/0001-49</t>
        </is>
      </c>
      <c r="F148" s="2" t="inlineStr">
        <is>
          <t>84.782.846/0001-10</t>
        </is>
      </c>
      <c r="G148" s="2" t="inlineStr">
        <is>
          <t>01º de junho de
2025</t>
        </is>
      </c>
      <c r="H148" s="2" t="inlineStr">
        <is>
          <t>30 de maio de 2027</t>
        </is>
      </c>
      <c r="I148" s="2" t="inlineStr">
        <is>
          <t>01º de junho de
2025</t>
        </is>
      </c>
      <c r="J148" s="2" t="inlineStr">
        <is>
          <t>5,20%</t>
        </is>
      </c>
      <c r="K148" s="2" t="inlineStr"/>
      <c r="L148" s="2" t="inlineStr">
        <is>
          <t>CONTRIBUIÇÃO ASSISTENCIAL aqui tratada fica limitada a 1% (um porcento) mensal, calculado</t>
        </is>
      </c>
      <c r="M148" s="2" t="inlineStr"/>
      <c r="N148"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48" s="2" t="inlineStr">
        <is>
          <t>Compensação de Jornada</t>
        </is>
      </c>
      <c r="P148" s="2" t="inlineStr"/>
      <c r="Q148" s="2" t="inlineStr"/>
    </row>
    <row r="149">
      <c r="A149" s="2" t="n">
        <v>148</v>
      </c>
      <c r="B149" s="2" t="inlineStr">
        <is>
          <t>347-CCT-SINDICATO DOS MOTORISTAS, CONDUTORES DE VEICULOS RODOVIARIOS URBANOS E EM GERAL, TRABALHADORES EM TRANSPORTES RODOVIARIOS DE DOIS VIZINHOS - SINTRODOV-01-01-2026.pdf</t>
        </is>
      </c>
      <c r="C149" s="2" t="inlineStr">
        <is>
          <t>FEDERACAO DOS TRABALHADORES EM TRANSP RODOV DO EST PR</t>
        </is>
      </c>
      <c r="D149" s="2" t="inlineStr"/>
      <c r="E149" s="2" t="inlineStr">
        <is>
          <t>81.455.248/0001-49</t>
        </is>
      </c>
      <c r="F149" s="2" t="inlineStr">
        <is>
          <t>80.251.929/0001-22</t>
        </is>
      </c>
      <c r="G149" s="2" t="inlineStr">
        <is>
          <t>01º de janeiro de
2026</t>
        </is>
      </c>
      <c r="H149" s="2" t="inlineStr">
        <is>
          <t>31 de dezembro de 2027</t>
        </is>
      </c>
      <c r="I149" s="2" t="inlineStr">
        <is>
          <t>01º de janeiro de
2026</t>
        </is>
      </c>
      <c r="J149" s="2" t="inlineStr">
        <is>
          <t>7,5%</t>
        </is>
      </c>
      <c r="K149" s="2" t="inlineStr"/>
      <c r="L149" s="2" t="inlineStr">
        <is>
          <t>CONTRIBUIÇÃO ASSISTENCIAL aqui tratada fica limitada a 1% (um porcento) mensal, calculado</t>
        </is>
      </c>
      <c r="M149" s="2" t="inlineStr"/>
      <c r="N149" s="2" t="inlineStr">
        <is>
          <t>**Cesta Básica**: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
**Descanso Semanal Remunerado**:
repouso semanal remunerado. O cálculo das horas extras e do adicional noturno deverá ser procedido tendo como base, o piso mínimo acima especificados Descontos Salariais
**FGTS**: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t>
        </is>
      </c>
      <c r="O149" s="2" t="inlineStr"/>
      <c r="P149" s="2" t="inlineStr">
        <is>
          <t>aviso prévio indenizado, ficando o empregador obrigado a comprovar o pagamento.</t>
        </is>
      </c>
      <c r="Q149" s="2" t="inlineStr"/>
    </row>
    <row r="150">
      <c r="A150" s="2" t="n">
        <v>149</v>
      </c>
      <c r="B150" s="2" t="inlineStr">
        <is>
          <t>347-CCT-SINDICATO DOS MOTORISTAS, CONDUTORES DE VEICULOS RODOVIARIOS URBANOS E EM GERAL, TRABALHADORES EM TRANSPORTES RODOVIARIOS DE DOIS VIZINHOS - SINTRODOV-01-02-2026.pdf</t>
        </is>
      </c>
      <c r="C150" s="2" t="inlineStr">
        <is>
          <t>FEDERACAO DOS TRABALHADORES EM TRANSP RODOV DO EST PR</t>
        </is>
      </c>
      <c r="D150" s="2" t="inlineStr"/>
      <c r="E150" s="2" t="inlineStr">
        <is>
          <t>81.455.248/0001-49</t>
        </is>
      </c>
      <c r="F150" s="2" t="inlineStr">
        <is>
          <t>80.060.635/0001-13</t>
        </is>
      </c>
      <c r="G150" s="2" t="inlineStr">
        <is>
          <t>01º de fevereiro de
2026</t>
        </is>
      </c>
      <c r="H150" s="2" t="inlineStr">
        <is>
          <t>31 de janeiro de 2028</t>
        </is>
      </c>
      <c r="I150" s="2" t="inlineStr">
        <is>
          <t>01º de fevereiro de
2026</t>
        </is>
      </c>
      <c r="J150" s="2" t="inlineStr">
        <is>
          <t>3,5%</t>
        </is>
      </c>
      <c r="K150" s="2" t="inlineStr"/>
      <c r="L150" s="2" t="inlineStr">
        <is>
          <t>CONTRIBUIÇÃO ASSISTENCIAL aqui tratada fica limitada a 1% (um porcento) mensal, calculado</t>
        </is>
      </c>
      <c r="M150" s="2" t="inlineStr"/>
      <c r="N150" s="2" t="inlineStr">
        <is>
          <t>**Refeição / Alimentação (VA/VR)**:
vale alimentação da CCT da categoria preponderante. PARÁGRAFO ÚNICO - Serão aplicadas aos motoristas os abonos espontaneamente concedidos por Acordos Coletivos à Convenção Coletiva da Categoria predominante.
**Plano de Saúde / Assistência Médica**: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
**Plano Odontológico**: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**Seguro de Vida**:
Seguro de Vida
**Diárias / Ressarcimento**:
diárias comprovadas por documentos fiscais, sem natureza salarial. PARÁGRAFO SEGUNDO - As empresas que mantiverem convênios com Restaurantes e Dormitórios para o atendimento das obrigações contidas nessa
**FGTS**:
FGTS. Gratificações, Adicionais, Auxílios e Outros Adicional de Hora-Extra</t>
        </is>
      </c>
      <c r="O150" s="2" t="inlineStr">
        <is>
          <t>Compensação de Jornada</t>
        </is>
      </c>
      <c r="P150" s="2" t="inlineStr"/>
      <c r="Q150" s="2" t="inlineStr">
        <is>
          <t>penalidade no valor de 10% (dez por cento) do</t>
        </is>
      </c>
    </row>
    <row r="151">
      <c r="A151" s="2" t="n">
        <v>150</v>
      </c>
      <c r="B151" s="2" t="inlineStr">
        <is>
          <t>347-CCT-SINDICATO DOS MOTORISTAS, CONDUTORES DE VEICULOS RODOVIARIOS URBANOS E EM GERAL, TRABALHADORES EM TRANSPORTES RODOVIARIOS DE DOIS VIZINHOS - SINTRODOV-01-03-2025.pdf</t>
        </is>
      </c>
      <c r="C151" s="2" t="inlineStr">
        <is>
          <t>FEDERACAO DOS TRABALHADORES EM TRANSP RODOV DO EST PR</t>
        </is>
      </c>
      <c r="D151" s="2" t="inlineStr"/>
      <c r="E151" s="2" t="inlineStr">
        <is>
          <t>81.455.248/0001-49</t>
        </is>
      </c>
      <c r="F151" s="2" t="inlineStr">
        <is>
          <t>10.612.279/0001-18</t>
        </is>
      </c>
      <c r="G151" s="2" t="inlineStr">
        <is>
          <t>01º de março de
2025</t>
        </is>
      </c>
      <c r="H151" s="2" t="inlineStr">
        <is>
          <t>28 de fevereiro de 2027</t>
        </is>
      </c>
      <c r="I151" s="2" t="inlineStr">
        <is>
          <t>01º de março de
2025</t>
        </is>
      </c>
      <c r="J151" s="2" t="inlineStr"/>
      <c r="K151" s="2" t="inlineStr"/>
      <c r="L151" s="2" t="inlineStr">
        <is>
          <t>CONTRIBUIÇÃO ASSISTENCIAL aqui tratada fica limitada a 1% (um porcento) mensal, calculado</t>
        </is>
      </c>
      <c r="M151" s="2" t="inlineStr"/>
      <c r="N151" s="2" t="inlineStr">
        <is>
          <t>**Plano de Saúde / Assistência Médica**: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
**Seguro de Vida**:
Seguro de Vida
**Descanso Semanal Remunerado**: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t>
        </is>
      </c>
      <c r="O151" s="2" t="inlineStr">
        <is>
          <t>jornada de trabalho, dos empregados acolhidos pelo presente instrumento, será de 44 horas semanais, | banco de horas”, entre os empregados e a empresa interessados.</t>
        </is>
      </c>
      <c r="P151" s="2" t="inlineStr">
        <is>
          <t>aviso prévio indenizado, este ocorrerá pelos 30 (trinta) primeiros dias, sendo que o</t>
        </is>
      </c>
      <c r="Q151" s="2" t="inlineStr">
        <is>
          <t>penalidade no valor de 10% (dez por cento) do</t>
        </is>
      </c>
    </row>
    <row r="152">
      <c r="A152" s="2" t="n">
        <v>151</v>
      </c>
      <c r="B152" s="2" t="inlineStr">
        <is>
          <t>347-CCT-SINDICATO DOS MOTORISTAS, CONDUTORES DE VEICULOS RODOVIARIOS URBANOS E EM GERAL, TRABALHADORES EM TRANSPORTES RODOVIARIOS DE DOIS VIZINHOS - SINTRODOV-01-05-2025.pdf</t>
        </is>
      </c>
      <c r="C152" s="2" t="inlineStr">
        <is>
          <t>SIND DOS MOTORISTAS, CONDUT. DE VEIC. RODOV URBANOS E EM GERAL, TRAB.TRANSP. ROD. PBCO</t>
        </is>
      </c>
      <c r="D152" s="2" t="inlineStr">
        <is>
          <t>LUNARDI; SIND DOS TRAB EM TRANSP RODOVIARIOS DE FRANC BELTRAO</t>
        </is>
      </c>
      <c r="E152" s="2" t="inlineStr">
        <is>
          <t>80.869.894/0001-90</t>
        </is>
      </c>
      <c r="F152" s="2" t="inlineStr">
        <is>
          <t>78.686.888/0001-55</t>
        </is>
      </c>
      <c r="G152" s="2" t="inlineStr">
        <is>
          <t>01º de maio de 2025</t>
        </is>
      </c>
      <c r="H152" s="2" t="inlineStr">
        <is>
          <t>30 de abril de 2027</t>
        </is>
      </c>
      <c r="I152" s="2" t="inlineStr">
        <is>
          <t>01º de maio de 2025</t>
        </is>
      </c>
      <c r="J152" s="2" t="inlineStr"/>
      <c r="K152" s="2" t="inlineStr">
        <is>
          <t>A) Motoristas de Ônibus nas Empresas Intermunicipais, Turismo e Fretamento Intermunicipal: R$ 3.540,00
B) Motoristas de Micro-ônibus nas Empresas Intermunicipais, Turismo e Fretamento Intermunicipal: R$ 3.033,00
C) Motoristas de Van, Kombi, minibus e similares nas Empresas Intermunicipais, Turismo e Fretamento Intermunicipal: R$ 2.631,00
D) Motoristas de Ônibus nas Empresas Interestaduais: R$ 3.715,00
E) Cobrador, Emissor de bilhete, Agente, Manuseador e Guardador de Mala: de rodoviária nas empresas de transporte de passageiros interestadual: R$ 2.099,00
F) Cobrador, Emissor de bilhete, Agente, Manuseador e Guardador de Mala de Rodoviária nas empresas de transporte de passageiros intermunicipal, demais empregados, cujas funções não estejam discriminadas na presente Convenção Coletiva de Trabalho: R$ 2.043,00</t>
        </is>
      </c>
      <c r="L152" s="2" t="inlineStr"/>
      <c r="M152" s="2" t="inlineStr"/>
      <c r="N152" s="2" t="inlineStr">
        <is>
          <t>**Auxílio Transporte / Vale-transporte**:
Auxílio Transporte
**Refeição / Alimentação (VA/VR)**:
Vale Alimentação extra, equivalente ao valor bruto das diferenças salariais relativas a maio e junho de 2025, a ser concedido juntamente com o vale alimentação de julho de 2025, sem acréscimo ou multa quaisquer. Reajustes/Correções Salariais
**Auxílio Creche**:
Auxílio Creche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
**Plano Odontológico**: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**Seguro de Vida**: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
**Diárias / Ressarcimento**: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
**Adicional Noturno**: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
**Horas Extras**: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
**FGTS**:
FGTS.</t>
        </is>
      </c>
      <c r="O152" s="2" t="inlineStr">
        <is>
          <t>Compensação de Jornada</t>
        </is>
      </c>
      <c r="P152" s="2" t="inlineStr"/>
      <c r="Q152" s="2" t="inlineStr"/>
    </row>
    <row r="153">
      <c r="A153" s="2" t="n">
        <v>152</v>
      </c>
      <c r="B153" s="2" t="inlineStr">
        <is>
          <t>347-CCT-SINDICATO DOS MOTORISTAS, CONDUTORES DE VEICULOS RODOVIARIOS URBANOS E EM GERAL, TRABALHADORES EM TRANSPORTES RODOVIARIOS DE DOIS VIZINHOS - SINTRODOV-01-05-2026.pdf</t>
        </is>
      </c>
      <c r="C153" s="2" t="inlineStr">
        <is>
          <t>FEDERACAO DOS TRABALHADORES EM TRANSP RODOV DO EST PR</t>
        </is>
      </c>
      <c r="D153" s="2" t="inlineStr"/>
      <c r="E153" s="2" t="inlineStr">
        <is>
          <t>81.455.248/0001-49</t>
        </is>
      </c>
      <c r="F153" s="2" t="inlineStr">
        <is>
          <t>81.878.845/0001-86</t>
        </is>
      </c>
      <c r="G153" s="2" t="inlineStr">
        <is>
          <t>01º de maio de 2026</t>
        </is>
      </c>
      <c r="H153" s="2" t="inlineStr">
        <is>
          <t>30 de abril de 2028</t>
        </is>
      </c>
      <c r="I153" s="2" t="inlineStr">
        <is>
          <t>01º de maio de 2026</t>
        </is>
      </c>
      <c r="J153" s="2" t="inlineStr">
        <is>
          <t>5,11%</t>
        </is>
      </c>
      <c r="K153" s="2" t="inlineStr"/>
      <c r="L153" s="2" t="inlineStr"/>
      <c r="M153" s="2" t="inlineStr"/>
      <c r="N153" s="2" t="inlineStr">
        <is>
          <t>**Auxílio Transporte / Vale-transporte**:
vale transporte, na forma e condição previstas na legislação. Adicional de Tempo de Serviço
**Refeição / Alimentação (VA/VR)**:
Vale Alimentação extra, equivalente ao valor bruto das diferenças salariais relativas a maio e junho, a ser concedido juntamente com o vale alimentação de julho/26, sem acréscimo ou multa quaisquer. Reajustes/Correções Salariais
**Auxílio Creche**:
Auxílio Creche
**Plano de Saúde / Assistência Médica**:
assistência médica e/ou odontológica, convênio com farmácias, óticas, supermercados e congêneres, dentre outros, mensalidades de seguros de vida, além de empréstimos pessoais, feitos perante os Sindicatos Profissionais convenentes ou empresa, desde que autorizados, inclusive associação de funcionários, podendo o empregado, a qualquer tempo, revogar autorização de desconto, exceto por empréstimos j...
**Plano Odontológico**:
ODONTOLÓGICOS A empresa aceitará os atestados médicos e odontológicos fornecidos pelos profissionais conveniados com os sindicatos dos trabalhadores, no âmbito territorial de cada um, ou com a previdência social, com o objetivo de justificar faltas ao serviço. Relações Sindicais Liberação de Empregados para Atividades Sindicais
**Seguro de Vida**:
Seguro de Vida
**Diárias / Ressarcimento**: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Gratificação de Função</t>
        </is>
      </c>
      <c r="O153" s="2" t="inlineStr">
        <is>
          <t>jornada de trabalho dos integrantes da categoria profissional será a decorrente da Lei, ou seja, de 44 horas | banco de horas” anual, via negociação coletiva entre</t>
        </is>
      </c>
      <c r="P153" s="2" t="inlineStr"/>
      <c r="Q153" s="2" t="inlineStr"/>
    </row>
    <row r="154">
      <c r="A154" s="2" t="n">
        <v>153</v>
      </c>
      <c r="B154" s="2" t="inlineStr">
        <is>
          <t>347-CCT-SINDICATO DOS MOTORISTAS, CONDUTORES DE VEICULOS RODOVIARIOS URBANOS E EM GERAL, TRABALHADORES EM TRANSPORTES RODOVIARIOS DE DOIS VIZINHOS - SINTRODOV-01-06-2025.pdf</t>
        </is>
      </c>
      <c r="C154" s="2" t="inlineStr">
        <is>
          <t>FEDERACAO DOS TRABALHADORES EM TRANSP RODOV DO EST PR</t>
        </is>
      </c>
      <c r="D154" s="2" t="inlineStr"/>
      <c r="E154" s="2" t="inlineStr">
        <is>
          <t>81.455.248/0001-49</t>
        </is>
      </c>
      <c r="F154" s="2" t="inlineStr">
        <is>
          <t>84.782.846/0001-10</t>
        </is>
      </c>
      <c r="G154" s="2" t="inlineStr">
        <is>
          <t>01º de junho de
2025</t>
        </is>
      </c>
      <c r="H154" s="2" t="inlineStr">
        <is>
          <t>30 de maio de 2027</t>
        </is>
      </c>
      <c r="I154" s="2" t="inlineStr">
        <is>
          <t>01º de junho de
2025</t>
        </is>
      </c>
      <c r="J154" s="2" t="inlineStr">
        <is>
          <t>5,20%</t>
        </is>
      </c>
      <c r="K154" s="2" t="inlineStr"/>
      <c r="L154" s="2" t="inlineStr">
        <is>
          <t>CONTRIBUIÇÃO ASSISTENCIAL aqui tratada fica limitada a 1% (um porcento) mensal, calculado</t>
        </is>
      </c>
      <c r="M154" s="2" t="inlineStr"/>
      <c r="N154" s="2" t="inlineStr">
        <is>
          <t>**Auxílio Transporte / Vale-transporte**: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
**Plano de Saúde / Assistência Médica**: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
**Plano Odontológico**: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
**Seguro de Vida**: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
**Cesta Básica**: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**Horas Extras**: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
**Descanso Semanal Remunerado**:
repouso semanal remunerado;
**FGTS**: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t>
        </is>
      </c>
      <c r="O154" s="2" t="inlineStr">
        <is>
          <t>Compensação de Jornada</t>
        </is>
      </c>
      <c r="P154" s="2" t="inlineStr"/>
      <c r="Q154" s="2" t="inlineStr"/>
    </row>
    <row r="155">
      <c r="A155" s="2" t="n">
        <v>154</v>
      </c>
      <c r="B155" s="2" t="inlineStr">
        <is>
          <t>347-CCT-SINDICATO DOS MOTORISTAS, CONDUTORES DE VEICULOS RODOVIARIOS URBANOS E EM GERAL, TRABALHADORES EM TRANSPORTES RODOVIARIOS DE DOIS VIZINHOS - SINTRODOV-01-06-2026.pdf</t>
        </is>
      </c>
      <c r="C155" s="2" t="inlineStr">
        <is>
          <t>FEDERACAO DOS TRABALHADORES EM TRANSP RODOV DO EST PR</t>
        </is>
      </c>
      <c r="D155" s="2" t="inlineStr"/>
      <c r="E155" s="2" t="inlineStr">
        <is>
          <t>81.455.248/0001-49</t>
        </is>
      </c>
      <c r="F155" s="2" t="inlineStr">
        <is>
          <t>81.272.379/0001-90</t>
        </is>
      </c>
      <c r="G155" s="2" t="inlineStr">
        <is>
          <t>01º de junho de
2026</t>
        </is>
      </c>
      <c r="H155" s="2" t="inlineStr">
        <is>
          <t>31 de maio de 2028</t>
        </is>
      </c>
      <c r="I155" s="2" t="inlineStr">
        <is>
          <t>01º de junho de
2026</t>
        </is>
      </c>
      <c r="J155" s="2" t="inlineStr">
        <is>
          <t>5,11%</t>
        </is>
      </c>
      <c r="K155" s="2" t="inlineStr"/>
      <c r="L155" s="2" t="inlineStr">
        <is>
          <t>contribuição sindical, com os respectivos dados de cada empregado (nome, função, data de admissão, valor do salário, valor do recolhimento), bem como o fundo assistencial, estabelecido na presente convenção, sendo que em ambas no próprio verso das respectivas guias. Assinala-se o prazo de 20 (vinte)</t>
        </is>
      </c>
      <c r="M155" s="2" t="inlineStr"/>
      <c r="N155" s="2" t="inlineStr">
        <is>
          <t>**Refeição / Alimentação (VA/VR)**:
Vale Alimentação extra, equivalente ao valor bruto das diferenças salariais relativas ao mês de junho, a ser concedido juntamente com o vale alimentação de junho/26, sem acréscimo ou multa quaisquer. Descontos Salariais
**Plano de Saúde / Assistência Médica**: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
**Plano Odontológico**:
ODONTOLÓGICOS A empresa aceitará, aos fins de justificação de horas e dias de falta de empregados motoristas, os atestados médicos e odontológicos fornecidos pelos profissionais dos Sindicatos dos Trabalhadores e do SUS. Relações Sindicais Acesso do Sindicato ao Local de Trabalho
**Seguro de Vida**:
Seguro de Vida
**Bolsa / Estudo**:
estudantes)
**Diárias / Ressarcimento**: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
**Adicional Noturno**: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**Horas Extras**: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**FGTS**:
FGTS Gratificações, Adicionais, Auxílios e Outros Auxílio Alimentação</t>
        </is>
      </c>
      <c r="O155" s="2" t="inlineStr">
        <is>
          <t>jornada de trabalho será a decorrente da Lei, 44 horas semanais, independente dos turnos de trabalho | banco de horas” anual, mediante</t>
        </is>
      </c>
      <c r="P155" s="2" t="inlineStr"/>
      <c r="Q155" s="2" t="inlineStr"/>
    </row>
    <row r="156">
      <c r="A156" s="2" t="n">
        <v>155</v>
      </c>
      <c r="B156" s="2" t="inlineStr">
        <is>
          <t>347-CCT-SINDICATO DOS MOTORISTAS, CONDUTORES DE VEICULOS RODOVIARIOS URBANOS E EM GERAL, TRABALHADORES EM TRANSPORTES RODOVIARIOS DE DOIS VIZINHOS - SINTRODOV-01-07-2024.pdf</t>
        </is>
      </c>
      <c r="C156" s="2" t="inlineStr">
        <is>
          <t>SINDICATO DOS MOTORISTAS, CONDUTORES DE VEICULOS RODOVIARIOS URBANOS E EM GERAL, TRABALHADORES EM TRANSPORTES RODOVIARIOS DE DOIS VIZINHOS - SINTRODOV</t>
        </is>
      </c>
      <c r="D156" s="2" t="inlineStr">
        <is>
          <t>GANASSINI; SIND DOS MOTORISTAS, CONDUT. DE VEIC. RODOV URBANOS E EM GERAL, TRAB.TRANSP. ROD. PBCO</t>
        </is>
      </c>
      <c r="E156" s="2" t="inlineStr">
        <is>
          <t>78.687.431/0001-65</t>
        </is>
      </c>
      <c r="F156" s="2" t="inlineStr">
        <is>
          <t>80.869.894/0001-90</t>
        </is>
      </c>
      <c r="G156" s="2" t="inlineStr">
        <is>
          <t>01º de julho de 2024</t>
        </is>
      </c>
      <c r="H156" s="2" t="inlineStr">
        <is>
          <t>30 de junho de 2026</t>
        </is>
      </c>
      <c r="I156" s="2" t="inlineStr">
        <is>
          <t>01º de julho de 2024</t>
        </is>
      </c>
      <c r="J156" s="2" t="inlineStr">
        <is>
          <t>4,50%</t>
        </is>
      </c>
      <c r="K156" s="2" t="inlineStr"/>
      <c r="L156" s="2" t="inlineStr">
        <is>
          <t>contribuição negocial/assistencial, decorrente de negociação coletiva aqui entabulada, o descumprimento desta regra por parte da empresa, caracterizando, nessa hipótese, prática antissindical, ficando assim, vedado aos empregadores e seus prepostos, assim considerados os departamentos de recursos hu</t>
        </is>
      </c>
      <c r="M156" s="2" t="inlineStr"/>
      <c r="N156" s="2" t="inlineStr">
        <is>
          <t>**Refeição / Alimentação (VA/VR)**:
vale alimentação etc...), obrigatoriamente serão pagas pela empresa onde o diretor estiver seu vínculo de emprego. PARÁGRAFO TERCEIRO: Referida liberação fica limitada à 01 dirigente sindical por vigência do instrumento coletivo. Caso necessária a liberação de mais de um dirigente sindical durante a vigência do presente instrumento, as empresas concederão licença não remunerada. PARÁGRAFO QUARTO: ...
**Plano de Saúde / Assistência Médica**:
ASSISTÊNCIA MÉDICA No caso de acidente que vitime motorista ou ajudante fora da localidade de seu domicilio, as empresas pagarão assistência médica necessária e correspondente, desde que não haja assistência pela previdência social, bem como aquelas de transporte do empregado de retorno ao seu domicilio. Aceitação de Atestados Médicos
**Seguro de Vida**: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
**Diárias / Ressarcimento**: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
**Adicional Noturno**: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
**Horas Extras**:
HORA EXTRA: terão direito a férias acrescidas de 1/3, todos os trabalhadores em transportes,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
**Descanso Semanal Remunerado**: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
**FGTS**: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t>
        </is>
      </c>
      <c r="O156" s="2" t="inlineStr">
        <is>
          <t>compensação de
jornada.</t>
        </is>
      </c>
      <c r="P156" s="2" t="inlineStr"/>
      <c r="Q156" s="2" t="inlineStr"/>
    </row>
    <row r="157">
      <c r="A157" s="2" t="n">
        <v>156</v>
      </c>
      <c r="B157" s="2" t="inlineStr">
        <is>
          <t>347-CCT-SINDICATO DOS MOTORISTAS, CONDUTORES DE VEICULOS RODOVIARIOS URBANOS E EM GERAL, TRABALHADORES EM TRANSPORTES RODOVIARIOS DE DOIS VIZINHOS - SINTRODOV-01-07-2025.pdf</t>
        </is>
      </c>
      <c r="C157" s="2" t="inlineStr">
        <is>
          <t>SIND DOS MOTORISTAS, CONDUT. DE VEIC. RODOV URBANOS E EM GERAL, TRAB.TRANSP. ROD. PBCO</t>
        </is>
      </c>
      <c r="D157" s="2" t="inlineStr">
        <is>
          <t>LUNARDI; SIND DOS TRAB EM TRANSP RODOVIARIOS DE FRANC BELTRAO</t>
        </is>
      </c>
      <c r="E157" s="2" t="inlineStr">
        <is>
          <t>80.869.894/0001-90</t>
        </is>
      </c>
      <c r="F157" s="2" t="inlineStr">
        <is>
          <t>78.686.888/0001-55</t>
        </is>
      </c>
      <c r="G157" s="2" t="inlineStr">
        <is>
          <t>01º de julho de 2025</t>
        </is>
      </c>
      <c r="H157" s="2" t="inlineStr">
        <is>
          <t>30 de junho de 2027</t>
        </is>
      </c>
      <c r="I157" s="2" t="inlineStr">
        <is>
          <t>01º de julho de 2025</t>
        </is>
      </c>
      <c r="J157" s="2" t="inlineStr"/>
      <c r="K157" s="2" t="inlineStr"/>
      <c r="L157" s="2" t="inlineStr"/>
      <c r="M157" s="2" t="inlineStr"/>
      <c r="N157" s="2" t="inlineStr">
        <is>
          <t>**Auxílio Transporte / Vale-transporte**:
Auxílio Transporte
**Plano de Saúde / Assistência Médica**: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
**Seguro de Vida**: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**Bolsa / Estudo**:
bolsa de estudos aos empregados que estejam cursando curso superior, ou outros cursos de aperfeiçoamento e especialização. Auxílio Morte/Funeral
**Diárias / Ressarcimento**:
diárias, descritas na
**Adicional Noturno**:
Adicional Noturno
**Horas Extras**:
hora extra previsto neste instrumento. Havendo débito contra o trabalhador, o saldo negativo será transferido para o período seguinte de apuração do Banco de Horas. Se ao final dos 12 (doze) meses ainda houver débito contra o trabalhador, este será perdoado pela empresa, iniciando-se novo período com o saldo "zerado". PARÁGRAFO SEGUNDO: Para cada hora extraordinária laborada em dia comum de trabal...
**Descanso Semanal Remunerado**:
REPOUSO SEMANAL REMUNERADO No cálculo para pagamento dos repousos semanais remunerados (domingos e feriados), serão considerados as horas extras, comissões, prêmios, adicionais noturnos, bem como quaisquer outras verbas habitualmente pagas, com exceção das diárias, descritas na
**FGTS**:
FGTS. Na CTPS deverão ser anotadas as parcelas fixas e percentuais de comissões, quando existentes.</t>
        </is>
      </c>
      <c r="O157" s="2" t="inlineStr">
        <is>
          <t>compensação de jornada.</t>
        </is>
      </c>
      <c r="P157" s="2" t="inlineStr"/>
      <c r="Q157" s="2" t="inlineStr"/>
    </row>
    <row r="158">
      <c r="A158" s="2" t="n">
        <v>157</v>
      </c>
      <c r="B158" s="2" t="inlineStr">
        <is>
          <t>347-CCT-SINDICATO DOS MOTORISTAS, CONDUTORES DE VEICULOS RODOVIARIOS URBANOS E EM GERAL, TRABALHADORES EM TRANSPORTES RODOVIARIOS DE DOIS VIZINHOS - SINTRODOV-01-08-2025.pdf</t>
        </is>
      </c>
      <c r="C158" s="2" t="inlineStr">
        <is>
          <t>FEDERACAO DOS TRABALHADORES EM TRANSP RODOV DO EST PR</t>
        </is>
      </c>
      <c r="D158" s="2" t="inlineStr"/>
      <c r="E158" s="2" t="inlineStr">
        <is>
          <t>81.455.248/0001-49</t>
        </is>
      </c>
      <c r="F158" s="2" t="inlineStr">
        <is>
          <t>84.782.846/0001-10</t>
        </is>
      </c>
      <c r="G158" s="2" t="inlineStr">
        <is>
          <t>01º de agosto de
2025</t>
        </is>
      </c>
      <c r="H158" s="2" t="inlineStr">
        <is>
          <t>31 de julho de 2027</t>
        </is>
      </c>
      <c r="I158" s="2" t="inlineStr">
        <is>
          <t>01º de agosto de
2025</t>
        </is>
      </c>
      <c r="J158" s="2" t="inlineStr">
        <is>
          <t>5,13%</t>
        </is>
      </c>
      <c r="K158" s="2" t="inlineStr"/>
      <c r="L158" s="2" t="inlineStr">
        <is>
          <t>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t>
        </is>
      </c>
      <c r="M158" s="2" t="inlineStr"/>
      <c r="N158" s="2" t="inlineStr">
        <is>
          <t>**Auxílio Transporte / Vale-transporte**: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
**Refeição / Alimentação (VA/VR)**: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
**Plano de Saúde / Assistência Médica**: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**Seguro de Vida**: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**Cesta Básica**: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
**Diárias / Ressarcimento**:
diárias, devidamente comprovadas pôr documentos fiscais hábeis, quando o deslocamento assim exigir, até o valor de R$ 220,00 (duzentos e vintereais), assim distribuídos: R$ 35,00 (trinta e cinco reais), para almoço. R$ 35,00 (trinta e cinco reais), para jantar, se o motorista não puder retornar de viajem até às 20:00 Hrs. R$ 150,00 (cento e cinquenta reais), para pernoite, sendo que este valor já ...
**Adicional de Periculosidade**:
Adicional de Periculosidade
**Adicional de Insalubridade**:
Adicional de Insalubridade
**Adicional Noturno**:
Adicional Noturno
**Horas Extras**:
horas extraordinárias, assim consideradas que excederem da 44 (quarenta e quatro) horas semanais, serão remuneradas com adicional de 50% (cinquenta por cento) sobre o valor da hora normal. Adicional Noturno
**Descanso Semanal Remunerado**:
repouso semanal normal. Essa regra não se aplica, em caso de adoção do banco de horas.</t>
        </is>
      </c>
      <c r="O158" s="2" t="inlineStr">
        <is>
          <t>banco de horas.</t>
        </is>
      </c>
      <c r="P158" s="2" t="inlineStr"/>
      <c r="Q158" s="2" t="inlineStr"/>
    </row>
    <row r="159">
      <c r="A159" s="2" t="n">
        <v>158</v>
      </c>
      <c r="B159" s="2" t="inlineStr">
        <is>
          <t>347-CCT-SINDICATO DOS MOTORISTAS, CONDUTORES DE VEICULOS RODOVIARIOS URBANOS E EM GERAL, TRABALHADORES EM TRANSPORTES RODOVIARIOS DE DOIS VIZINHOS - SINTRODOV-01-09-2025.pdf</t>
        </is>
      </c>
      <c r="C159" s="2" t="inlineStr">
        <is>
          <t>FEDERACAO DOS TRABALHADORES EM TRANSP RODOV DO EST PR</t>
        </is>
      </c>
      <c r="D159" s="2" t="inlineStr"/>
      <c r="E159" s="2" t="inlineStr">
        <is>
          <t>81.455.248/0001-49</t>
        </is>
      </c>
      <c r="F159" s="2" t="inlineStr">
        <is>
          <t>81.393.142/0001-68</t>
        </is>
      </c>
      <c r="G159" s="2" t="inlineStr">
        <is>
          <t>01º de setembro de
2025</t>
        </is>
      </c>
      <c r="H159" s="2" t="inlineStr">
        <is>
          <t>31 de agosto de 2027</t>
        </is>
      </c>
      <c r="I159" s="2" t="inlineStr">
        <is>
          <t>01º de setembro de
2025</t>
        </is>
      </c>
      <c r="J159" s="2" t="inlineStr">
        <is>
          <t>5,05%</t>
        </is>
      </c>
      <c r="K159" s="2" t="inlineStr"/>
      <c r="L159" s="2" t="inlineStr">
        <is>
          <t>CONTRIBUIÇÃO SINDICAL PATRONAL Para as empresas filiadas ao Sinegás, os valores das mensalidades são baseados na capacidade de armazenamento de acordo com a Norma Brasileira ABNT NBR 15.514/07 que definem a área de armazenamento de recipientes transportáveis de gás liquefeito de petróleo (GLP). Para</t>
        </is>
      </c>
      <c r="M159" s="2" t="inlineStr"/>
      <c r="N159" s="2" t="inlineStr">
        <is>
          <t>**Refeição / Alimentação (VA/VR)**:
VALE REFEIÇÃO/TICKET ALIMENTAÇÃO As empresas fornecerão aos empregados efetivos, ticket refeição ou vale alimentação no valor mínimo de R$20,00 (vinte reais) em quantidade equivalente ao número de dias úteis trabalhados do mês, podendo efetuar o respectivo desconto salarial. Parágrafo Primeiro: A participação do empregado será de até 5% (cinco por cento) do valor do vale refeição que deverá ser de...
**Seguro de Vida**:
SEGURO DE VIDA As empresas que não possuam seguro de vida em grupo poderão aderir no seguro mantido pelo sindicato profissional, mediante o pagamento equivalente a 3,5% (três e meio por cento), do salário base por empregado abrangido por esta convenção, ao Sindicato Profissional, que se obriga a manter apólice coletiva de seguro, em favor de seus representados.
**Cesta Básica**:
CESTA BÁSICA DE ALIMENTOS As empresas concederão aos empregados uma Cesta Básica de alimentos, inclusive para os empregados em férias e os afastados por Auxilio Doença, Auxilio Acidente e Auxílio Maternidade, nos Termos do Programa de Alimentação do Trabalhador - PAT, instituído pela Lei Federal n° 6.321/1976, regulamentada pelo Decreto n° 5, de 14.01.1991, constituída dos itens, abaixo discrimina...
**PPR / Participação nos Lucros**:
participação nos lucros da empresa. Parágrafo único - As operações de transporte de inflamáveis líquidos ou gasosos liquefeitos, em quaisquer vasilhames e a granel, são consideradas em condições de periculosidade, exclusão para o transporte em pequenas quantidades, até o limite de 200 (duzentos) litros para os inflamáveis líquidos e 135 (cento e trinta e cinco) quilos para os inflamáveis gasosos l...
**Diárias / Ressarcimento**:
diárias, devidamente comprovadas por documentos hábeis, quando o deslocamento assim o exigir, nos seguintes limites: R$32,75 - (trinta e dois reais e setenta e cinco centavos), para almoço; R$32,75 - (trinta e dois reais e setenta e cinco centavos), para jantar; R$14,21 - (quatorze reais e vinte um centavos), para café. R$14,21 - (quatorze reais e vinte um centavos), para café. Parágrafo Primeiro:...
**Adicional de Periculosidade**:
Adicional de Periculosidade
**Adicional Noturno**:
Adicional Noturno
**Horas Extras**:
hora extraordinária será de 50% (cinquenta por cento) sobre à hora normal. Parágrafo Único: Referido adicional será de 100% (cem por cento) nos domingos e feriados. Adicional Noturno
**FGTS**:
FGTS, obrigatoriamente Descontos Salariais</t>
        </is>
      </c>
      <c r="O159" s="2" t="inlineStr">
        <is>
          <t>Compensação de Jornada</t>
        </is>
      </c>
      <c r="P159" s="2" t="inlineStr"/>
      <c r="Q159" s="2" t="inlineStr"/>
    </row>
    <row r="160">
      <c r="A160" s="2" t="n">
        <v>159</v>
      </c>
      <c r="B160" s="2" t="inlineStr">
        <is>
          <t>347-CCT-SINDICATO DOS MOTORISTAS, CONDUTORES DE VEICULOS RODOVIARIOS URBANOS E EM GERAL, TRABALHADORES EM TRANSPORTES RODOVIARIOS DE DOIS VIZINHOS - SINTRODOV-01-10-2025.pdf</t>
        </is>
      </c>
      <c r="C160" s="2" t="inlineStr">
        <is>
          <t>FEDERACAO DOS TRABALHADORES EM TRANSP RODOV DO EST PR</t>
        </is>
      </c>
      <c r="D160" s="2" t="inlineStr"/>
      <c r="E160" s="2" t="inlineStr">
        <is>
          <t>81.455.248/0001-49</t>
        </is>
      </c>
      <c r="F160" s="2" t="inlineStr">
        <is>
          <t>81.878.845/0001-86</t>
        </is>
      </c>
      <c r="G160" s="2" t="inlineStr">
        <is>
          <t>01º de outubro de
2025</t>
        </is>
      </c>
      <c r="H160" s="2" t="inlineStr">
        <is>
          <t>30 de setembro de 2026</t>
        </is>
      </c>
      <c r="I160" s="2" t="inlineStr">
        <is>
          <t>01º de outubro de
2025</t>
        </is>
      </c>
      <c r="J160" s="2" t="inlineStr">
        <is>
          <t>5,76%</t>
        </is>
      </c>
      <c r="K160" s="2" t="inlineStr"/>
      <c r="L160" s="2" t="inlineStr">
        <is>
          <t>CONTRIBUIÇÃO ASSISTENCIAL aqui tratada fica limitada a 1% (um porcento) mensal, calculado</t>
        </is>
      </c>
      <c r="M160" s="2" t="inlineStr"/>
      <c r="N160" s="2" t="inlineStr">
        <is>
          <t>**Refeição / Alimentação (VA/VR)**: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As Entidades que concedem vale refeição/alimentação acima do valor de R$ R$ 26,00 (vinte e seis reais...
**Auxílio Creche**:
Auxílio Creche
**Plano Odontológico**:
ODONTOLÓGICOS Os atestados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
**Seguro de Vida**:
Seguro de Vida
**Diárias / Ressarcimento**: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
**Descanso Semanal Remunerado**:
Descanso Semanal
**Abono de Faltas**: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
**FGTS**:
FGTS (artigo 457, § 2º da CLT). Parágrafo Sexto - As diferenças de valores retroativos ao mês de outubro de 2025 deverão ser quitadas juntamente com o pagamento do benefício referente ao mês de novembro de 2025. Auxílio Morte/Funeral</t>
        </is>
      </c>
      <c r="O160" s="2" t="inlineStr">
        <is>
          <t>jornada de trabalho 12x36 horas fica | banco de horas, através de tíquete, cartão ou pecúnia (dinheiro). As Entidades que concedem vale</t>
        </is>
      </c>
      <c r="P160" s="2" t="inlineStr"/>
      <c r="Q160" s="2" t="inlineStr"/>
    </row>
    <row r="161">
      <c r="A161" s="2" t="n">
        <v>160</v>
      </c>
      <c r="B161" s="2" t="inlineStr">
        <is>
          <t>347-TA-CCT-SINDICATO DOS MOTORISTAS, CONDUTORES DE VEICULOS RODOVIARIOS URBANOS E EM GERAL, TRABALHADORES EM TRANSPORTES RODOVIARIOS DE DOIS VIZINHOS - SINTRODOV-01-05-2025.pdf</t>
        </is>
      </c>
      <c r="C161" s="2" t="inlineStr">
        <is>
          <t>FEDERACAO DOS TRABALHADORES EM TRANSP RODOV DO EST PR</t>
        </is>
      </c>
      <c r="D161" s="2" t="inlineStr"/>
      <c r="E161" s="2" t="inlineStr">
        <is>
          <t>81.455.248/0001-49</t>
        </is>
      </c>
      <c r="F161" s="2" t="inlineStr">
        <is>
          <t>80.891.708/0001-19</t>
        </is>
      </c>
      <c r="G161" s="2" t="inlineStr">
        <is>
          <t>01º
de maio de 2025</t>
        </is>
      </c>
      <c r="H161" s="2" t="inlineStr">
        <is>
          <t>31 de março de 2027</t>
        </is>
      </c>
      <c r="I161" s="2" t="inlineStr">
        <is>
          <t>01º
de maio de 2025</t>
        </is>
      </c>
      <c r="J161" s="2" t="inlineStr"/>
      <c r="K161" s="2" t="inlineStr"/>
      <c r="L161" s="2" t="inlineStr"/>
      <c r="M161" s="2" t="inlineStr"/>
      <c r="N161" s="2" t="inlineStr">
        <is>
          <t>**FGTS**: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t>
        </is>
      </c>
      <c r="O161" s="2" t="inlineStr"/>
      <c r="P161" s="2" t="inlineStr"/>
      <c r="Q161" s="2" t="inlineStr"/>
    </row>
    <row r="162">
      <c r="A162" s="2" t="n">
        <v>161</v>
      </c>
      <c r="B162" s="2" t="inlineStr">
        <is>
          <t>348-CCT-SINDICATO DOS ARQUITETOS E URBANISTAS NO ESTADO DO PARANA - SINDARQ-PR - SIND TRAB EMP SERV CONT ASS PER INF PESQ EMP PREST SERV e Ou-01-05-2026.pdf</t>
        </is>
      </c>
      <c r="C162" s="2" t="inlineStr">
        <is>
          <t>SIND TRAB EMP SERV CONT ASS PER INF PESQ EMP PREST SERV</t>
        </is>
      </c>
      <c r="D162" s="2" t="inlineStr"/>
      <c r="E162" s="2" t="inlineStr">
        <is>
          <t>79.583.241/0001-60</t>
        </is>
      </c>
      <c r="F162" s="2" t="inlineStr">
        <is>
          <t>81.906.810/0001-03</t>
        </is>
      </c>
      <c r="G162" s="2" t="inlineStr">
        <is>
          <t>01º de maio de 2026</t>
        </is>
      </c>
      <c r="H162" s="2" t="inlineStr">
        <is>
          <t>30 de abril de 2027</t>
        </is>
      </c>
      <c r="I162" s="2" t="inlineStr">
        <is>
          <t>01º de maio de 2026</t>
        </is>
      </c>
      <c r="J162" s="2" t="inlineStr"/>
      <c r="K162" s="2" t="inlineStr">
        <is>
          <t>A) As empresas poderão contratar profissionais que ainda não tiveram a CTPS assinada como engenheiro, arquiteto ou geocientista por um período máximo de 2 anos, com salário correspondente a no mínimo: R$ 7.000,00</t>
        </is>
      </c>
      <c r="L162"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2" s="2" t="inlineStr"/>
      <c r="N162"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2" s="2" t="inlineStr">
        <is>
          <t>Compensação de Jornada</t>
        </is>
      </c>
      <c r="P162" s="2" t="inlineStr"/>
      <c r="Q162" s="2" t="inlineStr">
        <is>
          <t>penalidades previstas em lei. a) até 15 dias de atraso – 2% (dois por cento); b) 16 a 30 dias de</t>
        </is>
      </c>
    </row>
    <row r="163">
      <c r="A163" s="2" t="n">
        <v>162</v>
      </c>
      <c r="B163" s="2" t="inlineStr">
        <is>
          <t>348-CCT-SINDICATO DOS ARQUITETOS E URBANISTAS NO ESTADO DO PARANA - SINDARQ-PR - SINDICATO DOS ENGENHEIROS NO ESTADO DO PARANA e Outros-01-06-2025.pdf</t>
        </is>
      </c>
      <c r="C163" s="2" t="inlineStr">
        <is>
          <t>SINDICATO EMP SERV CONT ASSES PERICIAS INF PESQ EST PR</t>
        </is>
      </c>
      <c r="D163" s="2" t="inlineStr">
        <is>
          <t>SINDICATO DOS ENGENHEIROS NO ESTADO DO PARANA</t>
        </is>
      </c>
      <c r="E163" s="2" t="inlineStr">
        <is>
          <t>81.047.508/0001-47</t>
        </is>
      </c>
      <c r="F163" s="2" t="inlineStr">
        <is>
          <t>76.684.828/0001-78</t>
        </is>
      </c>
      <c r="G163" s="2" t="inlineStr">
        <is>
          <t>01º de junho de
2025</t>
        </is>
      </c>
      <c r="H163" s="2" t="inlineStr">
        <is>
          <t>31 de maio de 2026</t>
        </is>
      </c>
      <c r="I163" s="2" t="inlineStr">
        <is>
          <t>01º de junho de
2025</t>
        </is>
      </c>
      <c r="J163" s="2" t="inlineStr">
        <is>
          <t>16,8%</t>
        </is>
      </c>
      <c r="K163" s="2" t="inlineStr"/>
      <c r="L163" s="2"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M163" s="2" t="inlineStr"/>
      <c r="N163"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63" s="2" t="inlineStr">
        <is>
          <t>COMPENSAÇÃO DE JORNADA DE</t>
        </is>
      </c>
      <c r="P163" s="2" t="inlineStr"/>
      <c r="Q163" s="2" t="inlineStr"/>
    </row>
    <row r="164">
      <c r="A164" s="2" t="n">
        <v>163</v>
      </c>
      <c r="B164" s="2" t="inlineStr">
        <is>
          <t>348-CCT-SINDICATO DOS ARQUITETOS E URBANISTAS NO ESTADO DO PARANA - SINDARQ-PR-01-05-2026.pdf</t>
        </is>
      </c>
      <c r="C164" s="2" t="inlineStr">
        <is>
          <t>SIND TRAB EMP SERV CONT ASS PER INF PESQ EMP PREST SERV</t>
        </is>
      </c>
      <c r="D164" s="2" t="inlineStr"/>
      <c r="E164" s="2" t="inlineStr">
        <is>
          <t>79.583.241/0001-60</t>
        </is>
      </c>
      <c r="F164" s="2" t="inlineStr">
        <is>
          <t>81.906.810/0001-03</t>
        </is>
      </c>
      <c r="G164" s="2" t="inlineStr">
        <is>
          <t>01º de maio de 2026</t>
        </is>
      </c>
      <c r="H164" s="2" t="inlineStr">
        <is>
          <t>30 de abril de 2027</t>
        </is>
      </c>
      <c r="I164" s="2" t="inlineStr">
        <is>
          <t>01º de maio de 2026</t>
        </is>
      </c>
      <c r="J164" s="2" t="inlineStr"/>
      <c r="K164" s="2" t="inlineStr">
        <is>
          <t>A) As empresas poderão contratar profissionais que ainda não tiveram a CTPS assinada como engenheiro, arquiteto ou geocientista por um período máximo de 2 anos, com salário correspondente a no mínimo: R$ 7.000,00</t>
        </is>
      </c>
      <c r="L164"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4" s="2" t="inlineStr"/>
      <c r="N164"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4" s="2" t="inlineStr">
        <is>
          <t>Compensação de Jornada</t>
        </is>
      </c>
      <c r="P164" s="2" t="inlineStr"/>
      <c r="Q164" s="2" t="inlineStr">
        <is>
          <t>penalidades previstas em lei. a) até 15 dias de atraso – 2% (dois por cento); b) 16 a 30 dias de</t>
        </is>
      </c>
    </row>
    <row r="165">
      <c r="A165" s="2" t="n">
        <v>164</v>
      </c>
      <c r="B165" s="2" t="inlineStr">
        <is>
          <t>348-TA-CCT-SINDICATO DOS ARQUITETOS E URBANISTAS NO ESTADO DO PARANA - SINDARQ-PR - SIND TRAB EMP SERV CONT ASS PER INF PESQ EMP PREST SERV e Ou-01-06-2025.pdf</t>
        </is>
      </c>
      <c r="C165" s="2" t="inlineStr">
        <is>
          <t>SIND TRAB EMP SERV CONT ASS PER INF PESQ EMP PREST SERV</t>
        </is>
      </c>
      <c r="D165" s="2" t="inlineStr"/>
      <c r="E165" s="2" t="inlineStr">
        <is>
          <t>79.583.241/0001-60</t>
        </is>
      </c>
      <c r="F165" s="2" t="inlineStr">
        <is>
          <t>81.906.810/0001-03</t>
        </is>
      </c>
      <c r="G165" s="2" t="inlineStr">
        <is>
          <t>01º
de junho de 2025</t>
        </is>
      </c>
      <c r="H165" s="2" t="inlineStr">
        <is>
          <t>31 de maio de 2026</t>
        </is>
      </c>
      <c r="I165" s="2" t="inlineStr">
        <is>
          <t>01º
de junho de 2025</t>
        </is>
      </c>
      <c r="J165" s="2" t="inlineStr"/>
      <c r="K165" s="2" t="inlineStr"/>
      <c r="L165" s="2" t="inlineStr"/>
      <c r="M165" s="2" t="inlineStr"/>
      <c r="N165" s="2"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O165" s="2" t="inlineStr"/>
      <c r="P165" s="2" t="inlineStr"/>
      <c r="Q165" s="2" t="inlineStr"/>
    </row>
    <row r="166">
      <c r="A166" s="2" t="n">
        <v>165</v>
      </c>
      <c r="B166" s="2" t="inlineStr">
        <is>
          <t>354-CCT-SINDICATO DOS EMP NO COM DE ASSIS CHATEAUBRIAND - SINDICATO INTERMUNICIPAL DO COMERCIO VAREJISTA DE MATERIAIS-01-06-2025.pdf</t>
        </is>
      </c>
      <c r="C166" s="2" t="inlineStr">
        <is>
          <t>SINDICATO DOS EMP NO COM DE ASSIS CHATEAUBRIAND</t>
        </is>
      </c>
      <c r="D166" s="2" t="inlineStr">
        <is>
          <t>SINDICATO INTERMUNICIPAL DO COMERCIO VAREJISTA DE MATERIAIS</t>
        </is>
      </c>
      <c r="E166" s="2" t="inlineStr">
        <is>
          <t>78.670.247/0001-02</t>
        </is>
      </c>
      <c r="F166" s="2" t="inlineStr">
        <is>
          <t>76.683.028/0001-32</t>
        </is>
      </c>
      <c r="G166" s="2" t="inlineStr">
        <is>
          <t>01º de junho de
2025</t>
        </is>
      </c>
      <c r="H166" s="2" t="inlineStr">
        <is>
          <t>31 de maio de 2026</t>
        </is>
      </c>
      <c r="I166" s="2" t="inlineStr">
        <is>
          <t>01º de junho de
2025</t>
        </is>
      </c>
      <c r="J166" s="2" t="inlineStr">
        <is>
          <t>6,20%</t>
        </is>
      </c>
      <c r="K166" s="2" t="inlineStr">
        <is>
          <t>A) Pacoteiro, Office-boy, Continuo, Porteiro, Guardião ou equivalentes: para o período de experiência, ou seja, 90 (noventa dias) iniciais,: R$ 1.518,00
B) Demais Cargos ou Funções: para o período de experiência, ou seja, primeiros 90 (noventa dias): R$ 2.075,02</t>
        </is>
      </c>
      <c r="L166" s="2" t="inlineStr">
        <is>
          <t>2% - contribuição negocial, segundo deliberação da Assembleia Geral e conforme lhe faculta o art. 8º, inciso IV da Constituição Federal e art. 513, letras "b" e "c" da CLT, como contrapartida pecuniária face à representatividade absoluta da Entidade Patronal, de acordo com a tabela abaixo: a) Empresas co...</t>
        </is>
      </c>
      <c r="M166" s="2" t="inlineStr"/>
      <c r="N166" s="2" t="inlineStr">
        <is>
          <t>**Auxílio Transporte / Vale-transporte**:
Auxílio Transporte
**Refeição / Alimentação (VA/VR)**:
vale-refeição ou alimentação aos empregados abrangidos pela categoria, no valor mensal de R$ 220,00 (duzentos e vinte reais), a partir da data da assinatura da presente Convenção. Parágrafo primeiro: O empregado deverá optar pelo benefício do vale-refeição, cesta básica ou vale-alimentação, no valor mensal acima estabelecido, mediante preenchimento de formulário a ser apresentado pela empresa. Par...
**Plano de Saúde / Assistência Médica**:
Plano de Saúde, não tem caráter salarial, não integrando a remuneração do empregado para nenhum efeito legal; § 2º - A importância despendida com plano de saúde é dedutível do imposto de renda, na forma da legislação aplicável, tanto da pessoa jurídica quanto da pessoa física. Outras Normas de Prevenção de Acidentes e Doenças Profissionais
**Bolsa / Estudo**:
estudantes que comprovem a sua situação escolar, desde que expressem o seu desinteresse pela prorrogação. Compensação de Jornada
**Cesta Básica**:
cesta básica ou vale-alimentação, no valor mensal acima estabelecido, mediante preenchimento de formulário a ser apresentado pela empresa. Parágrafo segundo: A empresa poderá ainda fornecer alimentação sob outras modalidades inclusive Programa de Alimentação ao Trabalhador (PAT), restaurante ou em refeitório próprio, desde que garantida a refeição no valor mínimo de R$ 220,00 (duzentos e vinte rea...
**Descanso Semanal Remunerado**:
REPOUSO SEMANAL REMUNERADO O repouso semanal remunerado será fruído aos domingos. Nas atividades que por sua natureza determinem trabalho aos domingos, será garantido aos empregados repouso em pelo menos 02 (dois) domingos ao mês. Faltas
**Abono de Faltas**:
ABONO DE FALTAS Abonar-se-ão faltas aos empregados estudantes e vestibulandos, quando comprovarem prestação de exames na cidade em que trabalham.
**FGTS**:
FGTS. Parágrafo Segundo: Havendo aumento de tarifas, após o pagamento opcional em dinheiro, as empresas efetuarão em até 10 (dez) a complementação do auxílio. Contrato de Trabalho – Admissão, Demissão, Modalidades Desligamento/Demissão</t>
        </is>
      </c>
      <c r="O166" s="2" t="inlineStr">
        <is>
          <t>Compensação de Jornada</t>
        </is>
      </c>
      <c r="P166" s="2" t="inlineStr"/>
      <c r="Q166" s="2" t="inlineStr"/>
    </row>
    <row r="167">
      <c r="A167" s="2" t="n">
        <v>166</v>
      </c>
      <c r="B167" s="2" t="inlineStr">
        <is>
          <t>355-CCT-SIND TRAB EMP SERV CONT ASS PER INF PESQ EMP PREST SERV - SIND NACIONAL EMPR ARQUITETURA E ENGENHARIA CONSULTIVA-01-05-2026.pdf</t>
        </is>
      </c>
      <c r="C167" s="2" t="inlineStr">
        <is>
          <t>SIND TRAB EMP SERV CONT ASS PER INF PESQ EMP PREST SERV</t>
        </is>
      </c>
      <c r="D167" s="2" t="inlineStr"/>
      <c r="E167" s="2" t="inlineStr">
        <is>
          <t>79.583.241/0001-60</t>
        </is>
      </c>
      <c r="F167" s="2" t="inlineStr">
        <is>
          <t>81.906.810/0001-03</t>
        </is>
      </c>
      <c r="G167" s="2" t="inlineStr">
        <is>
          <t>01º de maio de 2026</t>
        </is>
      </c>
      <c r="H167" s="2" t="inlineStr">
        <is>
          <t>30 de abril de 2027</t>
        </is>
      </c>
      <c r="I167" s="2" t="inlineStr">
        <is>
          <t>01º de maio de 2026</t>
        </is>
      </c>
      <c r="J167" s="2" t="inlineStr"/>
      <c r="K167" s="2" t="inlineStr">
        <is>
          <t>A) As empresas poderão contratar profissionais que ainda não tiveram a CTPS assinada como engenheiro, arquiteto ou geocientista por um período máximo de 2 anos, com salário correspondente a no mínimo: R$ 7.000,00</t>
        </is>
      </c>
      <c r="L167"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7" s="2" t="inlineStr"/>
      <c r="N167"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7" s="2" t="inlineStr">
        <is>
          <t>Compensação de Jornada</t>
        </is>
      </c>
      <c r="P167" s="2" t="inlineStr"/>
      <c r="Q167" s="2" t="inlineStr">
        <is>
          <t>penalidades previstas em lei. a) até 15 dias de atraso – 2% (dois por cento); b) 16 a 30 dias de</t>
        </is>
      </c>
    </row>
    <row r="168">
      <c r="A168" s="2" t="n">
        <v>167</v>
      </c>
      <c r="B168" s="2" t="inlineStr">
        <is>
          <t>355-CCT-SIND TRAB EMP SERV CONT ASS PER INF PESQ EMP PREST SERV - SINDICATO DOS ENGENHEIROS NO ESTADO DO PARANA e Outros-01-06-2025.pdf</t>
        </is>
      </c>
      <c r="C168" s="2" t="inlineStr">
        <is>
          <t>SINDICATO EMP SERV CONT ASSES PERICIAS INF PESQ EST PR</t>
        </is>
      </c>
      <c r="D168" s="2" t="inlineStr">
        <is>
          <t>SINDICATO DOS ENGENHEIROS NO ESTADO DO PARANA</t>
        </is>
      </c>
      <c r="E168" s="2" t="inlineStr">
        <is>
          <t>81.047.508/0001-47</t>
        </is>
      </c>
      <c r="F168" s="2" t="inlineStr">
        <is>
          <t>76.684.828/0001-78</t>
        </is>
      </c>
      <c r="G168" s="2" t="inlineStr">
        <is>
          <t>01º de junho de
2025</t>
        </is>
      </c>
      <c r="H168" s="2" t="inlineStr">
        <is>
          <t>31 de maio de 2026</t>
        </is>
      </c>
      <c r="I168" s="2" t="inlineStr">
        <is>
          <t>01º de junho de
2025</t>
        </is>
      </c>
      <c r="J168" s="2" t="inlineStr">
        <is>
          <t>16,8%</t>
        </is>
      </c>
      <c r="K168" s="2" t="inlineStr"/>
      <c r="L168" s="2" t="inlineStr">
        <is>
          <t>3% - CONTRIBUIÇÃO NEGOCIAL - SINDIVET Será descontado 3% (três por cento) do salário básico de cada Médico(a) Veterinário(a), representados(as) pelo SINDIVET-PR, a título de Custeio Negocial, conforme deliberação soberana tomada em Assembleia Geral Extraordinária da categoria. Parágrafo primeiro. Este de...</t>
        </is>
      </c>
      <c r="M168" s="2" t="inlineStr"/>
      <c r="N168"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R$ 31,00 (trinta e um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2024,...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adesão aos respectivos benefícios. Gratificações, Adicionais, Auxílios e Outros...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empregado, sendo obrigatória a livre a...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68" s="2" t="inlineStr">
        <is>
          <t>COMPENSAÇÃO DE JORNADA DE</t>
        </is>
      </c>
      <c r="P168" s="2" t="inlineStr"/>
      <c r="Q168" s="2" t="inlineStr"/>
    </row>
    <row r="169">
      <c r="A169" s="2" t="n">
        <v>168</v>
      </c>
      <c r="B169" s="2" t="inlineStr">
        <is>
          <t>355-CCT-SIND TRAB EMP SERV CONT ASS PER INF PESQ EMP PREST SERV-01-05-2026.pdf</t>
        </is>
      </c>
      <c r="C169" s="2" t="inlineStr">
        <is>
          <t>SIND TRAB EMP SERV CONT ASS PER INF PESQ EMP PREST SERV</t>
        </is>
      </c>
      <c r="D169" s="2" t="inlineStr"/>
      <c r="E169" s="2" t="inlineStr">
        <is>
          <t>79.583.241/0001-60</t>
        </is>
      </c>
      <c r="F169" s="2" t="inlineStr">
        <is>
          <t>81.906.810/0001-03</t>
        </is>
      </c>
      <c r="G169" s="2" t="inlineStr">
        <is>
          <t>01º de maio de 2026</t>
        </is>
      </c>
      <c r="H169" s="2" t="inlineStr">
        <is>
          <t>30 de abril de 2027</t>
        </is>
      </c>
      <c r="I169" s="2" t="inlineStr">
        <is>
          <t>01º de maio de 2026</t>
        </is>
      </c>
      <c r="J169" s="2" t="inlineStr"/>
      <c r="K169" s="2" t="inlineStr">
        <is>
          <t>A) As empresas poderão contratar profissionais que ainda não tiveram a CTPS assinada como engenheiro, arquiteto ou geocientista por um período máximo de 2 anos, com salário correspondente a no mínimo: R$ 7.000,00</t>
        </is>
      </c>
      <c r="L169" s="2" t="inlineStr">
        <is>
          <t>1% - Contribuição Negocial nos termos do Artigo 8.º, Inciso IV da Constituição Federal, em favor dos SENGE-PR, em valores equivalentes a 1% (um por cento) dos salários do mês de junho/2026, definidos na Assembleia dos mesmos com os trabalhadores, a ser recolhido até o dia 10 de julho de 2026, através da ...</t>
        </is>
      </c>
      <c r="M169" s="2" t="inlineStr"/>
      <c r="N169" s="2" t="inlineStr">
        <is>
          <t>**Refeição / Alimentação (VA/VR)**: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As empresas que praticam valores de Ticket Refeição ou Vale Supermercado superiores aos fixados no “Caput” des...
**Auxílio Creche**:
Auxílio Creche
**Plano de Saúde / Assistência Médica**:
ASSISTÊNCIA MÉDICA - ODONTOLÓGICA Fica acordado que, as empresas manterão convênios para assistência médica e odontológica aos seus empregados e dependentes, sem ônus para a empresa. Ficam mantidas as condições mais favoráveis vigentes em cada empresa.
**PPR / Participação nos Lucros**:
Participação nos Lucros e/ou Resultados
**Diárias / Ressarcimento**: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
**Adicional de Insalubridade**:
Adicional de Insalubridade
**Adicional Noturno**:
Adicional Noturno
**Horas Extras**:
horas extraordinárias aquelas prestadas pelos empregados em número excedente ao previsto na
**Abono de Faltas**: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Revezamento
**FGTS**:
FGTS. Descontos Salariais</t>
        </is>
      </c>
      <c r="O169" s="2" t="inlineStr">
        <is>
          <t>Compensação de Jornada</t>
        </is>
      </c>
      <c r="P169" s="2" t="inlineStr"/>
      <c r="Q169" s="2" t="inlineStr">
        <is>
          <t>penalidades previstas em lei. a) até 15 dias de atraso – 2% (dois por cento); b) 16 a 30 dias de</t>
        </is>
      </c>
    </row>
    <row r="170">
      <c r="A170" s="2" t="n">
        <v>169</v>
      </c>
      <c r="B170" s="2" t="inlineStr">
        <is>
          <t>355-CCT-SIND TRAB EMP SERV CONT ASS PER INF PESQ EMP PREST SERV-01-06-2026.pdf</t>
        </is>
      </c>
      <c r="C170" s="2" t="inlineStr">
        <is>
          <t>SINDICATO EMP SERV CONT ASSES PERICIAS INF PESQ EST PR</t>
        </is>
      </c>
      <c r="D170" s="2" t="inlineStr">
        <is>
          <t>SIND TRAB EMP SERV CONT ASS PER INF PESQ EMP PREST SERV</t>
        </is>
      </c>
      <c r="E170" s="2" t="inlineStr">
        <is>
          <t>81.047.508/0001-47</t>
        </is>
      </c>
      <c r="F170" s="2" t="inlineStr">
        <is>
          <t>79.583.241/0001-60</t>
        </is>
      </c>
      <c r="G170" s="2" t="inlineStr">
        <is>
          <t>01º de junho de
2026</t>
        </is>
      </c>
      <c r="H170" s="2" t="inlineStr">
        <is>
          <t>31 de maio de 2027</t>
        </is>
      </c>
      <c r="I170" s="2" t="inlineStr">
        <is>
          <t>01º de junho de
2026</t>
        </is>
      </c>
      <c r="J170" s="2" t="inlineStr">
        <is>
          <t>5,5%</t>
        </is>
      </c>
      <c r="K170" s="2" t="inlineStr"/>
      <c r="L170" s="2" t="inlineStr">
        <is>
          <t>3% - contribuição negocial/assistencial em favor do SINDASPP. Esta contribuição será devida por todos os empregados integrantes da categoria profissional e beneficiários deste instrumento coletivo, com fundamento no princípio da contraprestação e conforme entendimento do Supremo Tribunal Federal com repe...</t>
        </is>
      </c>
      <c r="M170" s="2" t="inlineStr"/>
      <c r="N170" s="2" t="inlineStr">
        <is>
          <t>**Auxílio Transporte / Vale-transporte**: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Havendo circulação de pelo menos 30% da frota de ônibus, não será abonada a falta ao trabalho, podendo o empregador, ...
**Refeição / Alimentação (VA/VR)**:
vale-alimentação no valor mínimo de R$ 35,00 (trinta e cinco reais) em quantidade equivalente ao número de dias úteis trabalhados no mês, podendo efetuar o respectivo desconto salarial em conformidade com a legislação que rege a matéria. II – As empresas sediadas ou que prestem serviços nos municípios com população superior a 200.000 (duzentos mil) habitantes, conforme a estimativa populacional 20...
**Plano Odontológico**:
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adesão aos respectivos benefícios. Gratificações, Adicionais, Auxílios e Outros ...
**Seguro de Vida**:
seguro de vida em grupo, associação de empregados, alimentação, planos médico-odontológicos com participação dos empregados nos custos, tratamentos odontológicos, convênios com farmácias, supermercados e congêneres, telefonemas particulares, entre outros. Parágrafo único. Os descontos mencionados somente poderão ser realizados mediante expressa autorização do empegado, sendo obrigatória a livre ad...
**Bolsa / Estudo**:
estudantes que comprovem a sua situação escolar, desde que expressem a sua impossibilidade de atendimento à citada prorrogação. Compensação de Jornada
**Diárias / Ressarcimento**: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
**Adicional Noturno**:
adicional noturno, na hipótese da jornada ser cumprida após às 22 horas, sendo a hora considerada reduzida, na forma do artigo 73 da CLT, inclusive sobre as prorrogações após às 5 horas da manhã. Parágrafo vigésimo. Mediante acordo individual expresso e escrito, firmado pelas partes, e tratando-se de opção pelo controle de jornada de trabalho, o intervalo intrajornada daqueles que trabalhem de for...
**Horas Extras**: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
**Abono de Faltas**: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t>
        </is>
      </c>
      <c r="O170" s="2" t="inlineStr">
        <is>
          <t>COMPENSAÇÃO DE JORNADA DE</t>
        </is>
      </c>
      <c r="P170" s="2" t="inlineStr"/>
      <c r="Q170" s="2" t="inlineStr"/>
    </row>
    <row r="171">
      <c r="A171" s="2" t="n">
        <v>170</v>
      </c>
      <c r="B171" s="2" t="inlineStr">
        <is>
          <t>355-CCT-SIND TRAB EMP SERV CONT ASS PER INF PESQ EMP PREST SERV-01-07-2025.pdf</t>
        </is>
      </c>
      <c r="C171" s="2" t="inlineStr">
        <is>
          <t>SINDICATO NACIONAL DE COMISSARIAS DE DESPACHOS, AGENTES TRANSITARIOS E INTERMED. DE CARGA, LOGISTICA E FRETES EM COMERCIO INTERNAC. - SINDICOMIS</t>
        </is>
      </c>
      <c r="D171" s="2" t="inlineStr">
        <is>
          <t>SIND TRAB EMP SERV CONT ASS PER INF PESQ EMP PREST SERV</t>
        </is>
      </c>
      <c r="E171" s="2" t="inlineStr">
        <is>
          <t>61.762.290/0001-03</t>
        </is>
      </c>
      <c r="F171" s="2" t="inlineStr">
        <is>
          <t>79.583.241/0001-60</t>
        </is>
      </c>
      <c r="G171" s="2" t="inlineStr">
        <is>
          <t>01º de julho de 2025</t>
        </is>
      </c>
      <c r="H171" s="2" t="inlineStr">
        <is>
          <t>30 de junho de 2027</t>
        </is>
      </c>
      <c r="I171" s="2" t="inlineStr">
        <is>
          <t>01º de julho de 2025</t>
        </is>
      </c>
      <c r="J171" s="2" t="inlineStr">
        <is>
          <t>0,75%</t>
        </is>
      </c>
      <c r="K171" s="2" t="inlineStr"/>
      <c r="L171" s="2"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t>
        </is>
      </c>
      <c r="M171" s="2" t="inlineStr"/>
      <c r="N171" s="2" t="inlineStr">
        <is>
          <t>**Auxílio Transporte / Vale-transporte**:
Auxílio Transporte
**Refeição / Alimentação (VA/VR)**: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O valor previsto no “caput” desta
**Auxílio Creche**:
Auxílio Creche
**Plano de Saúde / Assistência Médica**:
plano de saúde ou convênio médico patrocinado pelo empregador, total ou parcialmente.
**Plano Odontológico**:
ODONTOLÓGICOS Os trabalhadores poderão se ausentar do serviço sem prejuízo de seus salários e sem necessidade de compensação, pelos seguintes prazos: 1. a. 05 (cinco) dias corridos em virtude de falecimento de cônjuge, ascendente, descendente, irmão ou pessoa que, comprovadamente, vivia sob sua dependência econômica. 2. b. 05 (cinco) dias úteis consecutivos em virtude de núpcias. 3. c. Até 07 (set...
**Seguro de Vida**: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
**PPR / Participação nos Lucros**:
participação nos lucros ou resultados; 2. banco de horas; 3. alteração de jornada de trabalho; 4. parcelamento das férias; 5. trabalho aos domingos e feriados; 6. ponto eletrônico; 7. trabalho do empregado “hiper suficiente”; 8. teletrabalho; 9. compensação de jornada de trabalho e “dias ponte”; 10. redução do intervalo intrajornada; 11. trabalho intermitente; 12. trabalho do autônomo exclusivo; 1...
**Diárias / Ressarcimento**: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
**Adicional Noturno**:
ADICIONAL NOTURNO E SEUS REFLEXOS 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
**Horas Extras**:
horas extraordinárias serão remuneradas com os adicionais seguintes, incidindo o percentual sobre o valor da hora normal: 1. percentual de 100% (cem inteiros por cento), nos casos em que o trabalhador venha a trabalhar por força de determinação da empresa, em período superior ao permitido por lei nos moldes do art. 61 da CLT, ou prestar serviço aos domingos e feriados. 2. percentual de 60% (sessen...
**Descanso Semanal Remunerado**:
Repouso Semanal Remunerado, que não poderá ser concedido após o 7º (sétimo) dia consecutivo de trabalho. Parágrafo Primeiro: Além da jornada de 8 (oito) horas diárias e de 44 (quarenta e quatro) horas semanais, as empresas poderão, a seu critério, contratar empregados mediante outras modalidades de jornada, a saber: I – JORNADA PARCIAL – Aquela cuja duração não exceda a 30 (trinta) horas semanais,...
**FGTS**: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t>
        </is>
      </c>
      <c r="O171" s="2" t="inlineStr">
        <is>
          <t>banco de horas;</t>
        </is>
      </c>
      <c r="P171" s="2" t="inlineStr"/>
      <c r="Q171" s="2" t="inlineStr"/>
    </row>
    <row r="172">
      <c r="A172" s="2" t="n">
        <v>171</v>
      </c>
      <c r="B172" s="2" t="inlineStr">
        <is>
          <t>355-TA-CCT-SIND TRAB EMP SERV CONT ASS PER INF PESQ EMP PREST SERV - SIND NACIONAL EMPR ARQUITETURA E ENGENHARIA CONSULTIVA-01-06-2025.pdf</t>
        </is>
      </c>
      <c r="C172" s="2" t="inlineStr">
        <is>
          <t>SIND TRAB EMP SERV CONT ASS PER INF PESQ EMP PREST SERV</t>
        </is>
      </c>
      <c r="D172" s="2" t="inlineStr"/>
      <c r="E172" s="2" t="inlineStr">
        <is>
          <t>79.583.241/0001-60</t>
        </is>
      </c>
      <c r="F172" s="2" t="inlineStr">
        <is>
          <t>81.906.810/0001-03</t>
        </is>
      </c>
      <c r="G172" s="2" t="inlineStr">
        <is>
          <t>01º
de junho de 2025</t>
        </is>
      </c>
      <c r="H172" s="2" t="inlineStr">
        <is>
          <t>31 de maio de 2026</t>
        </is>
      </c>
      <c r="I172" s="2" t="inlineStr">
        <is>
          <t>01º
de junho de 2025</t>
        </is>
      </c>
      <c r="J172" s="2" t="inlineStr"/>
      <c r="K172" s="2" t="inlineStr"/>
      <c r="L172" s="2" t="inlineStr"/>
      <c r="M172" s="2" t="inlineStr"/>
      <c r="N172" s="2" t="inlineStr">
        <is>
          <t>**Refeição / Alimentação (VA/VR)**:
Vale Refeição no valor diário de R$ 40,00 (quarenta reais) a partir de 1°/06/2025, mantidas as condições mais favoráveis de distribuição e desconto vigentes em cada empresa. Parágrafo primeiro: As empresas que praticam valores de Ticket Refeição ou Vale Supermercado superiores aos fixados no “Caput” desta
**Auxílio Creche**:
Auxílio Creche</t>
        </is>
      </c>
      <c r="O172" s="2" t="inlineStr"/>
      <c r="P172" s="2" t="inlineStr"/>
      <c r="Q172" s="2" t="inlineStr"/>
    </row>
    <row r="173">
      <c r="A173" s="2" t="n">
        <v>172</v>
      </c>
      <c r="B173" s="2" t="inlineStr">
        <is>
          <t>355-TA-CCT-SIND TRAB EMP SERV CONT ASS PER INF PESQ EMP PREST SERV-01-03-2025.pdf</t>
        </is>
      </c>
      <c r="C173" s="2" t="inlineStr">
        <is>
          <t>PLOTTER ENGENHARIA LTDA.</t>
        </is>
      </c>
      <c r="D173" s="2" t="inlineStr">
        <is>
          <t>SIND TRAB EMP SERV CONT ASS PER INF PESQ EMP PREST SERV</t>
        </is>
      </c>
      <c r="E173" s="2" t="inlineStr">
        <is>
          <t>74.174.095/0001-04</t>
        </is>
      </c>
      <c r="F173" s="2" t="inlineStr">
        <is>
          <t>79.583.241/0001-60</t>
        </is>
      </c>
      <c r="G173" s="2" t="inlineStr">
        <is>
          <t>01º de
março de 2025</t>
        </is>
      </c>
      <c r="H173" s="2" t="inlineStr">
        <is>
          <t>30 de junho de 2026</t>
        </is>
      </c>
      <c r="I173" s="2" t="inlineStr">
        <is>
          <t>01º de
março de 2025</t>
        </is>
      </c>
      <c r="J173" s="2" t="inlineStr"/>
      <c r="K173" s="2" t="inlineStr"/>
      <c r="L173" s="2" t="inlineStr"/>
      <c r="M173" s="2" t="inlineStr"/>
      <c r="N173" s="2" t="inlineStr">
        <is>
          <t>Não especificado</t>
        </is>
      </c>
      <c r="O173" s="2" t="inlineStr"/>
      <c r="P173" s="2" t="inlineStr"/>
      <c r="Q173" s="2" t="inlineStr"/>
    </row>
    <row r="174">
      <c r="A174" s="2" t="n">
        <v>173</v>
      </c>
      <c r="B174" s="2" t="inlineStr">
        <is>
          <t>355-TA-CCT-SIND TRAB EMP SERV CONT ASS PER INF PESQ EMP PREST SERV-01-06-2025.pdf</t>
        </is>
      </c>
      <c r="C174" s="2" t="inlineStr">
        <is>
          <t>SIND TRAB EMP SERV CONT ASS PER INF PESQ EMP PREST SERV</t>
        </is>
      </c>
      <c r="D174" s="2" t="inlineStr">
        <is>
          <t>ORGAO DE GESTAO DE MAO-DE-OBRA DO TRABALHADOR PORTUARIO E AVULSO DO PORTO ORGANIZADO DE PARANAGUA</t>
        </is>
      </c>
      <c r="E174" s="2" t="inlineStr">
        <is>
          <t>79.583.241/0001-60</t>
        </is>
      </c>
      <c r="F174" s="2" t="inlineStr">
        <is>
          <t>00.850.135/0001-46</t>
        </is>
      </c>
      <c r="G174" s="2" t="inlineStr">
        <is>
          <t>01º de
junho de 2025</t>
        </is>
      </c>
      <c r="H174" s="2" t="inlineStr">
        <is>
          <t>31 de maio de 2027</t>
        </is>
      </c>
      <c r="I174" s="2" t="inlineStr">
        <is>
          <t>01º de
junho de 2025</t>
        </is>
      </c>
      <c r="J174" s="2" t="inlineStr"/>
      <c r="K174" s="2" t="inlineStr"/>
      <c r="L174" s="2" t="inlineStr"/>
      <c r="M174" s="2" t="inlineStr"/>
      <c r="N174" s="2" t="inlineStr">
        <is>
          <t>**Diárias / Ressarcimento**:
diárias em 4 dias da semana e 8h diárias em 1 dia da semana, totalizando 44h semanais, também com intervalo de 30 (trinta) minutos a 02 (duas) horas para almoço. Este ajuste será feito a critério da Diretoria e/ou Gestor imediato, mediante comunicação ao(s) empregado(s) abrangido(s) pela mudança. Parágrafo Quarto. Ajustam as partes, ainda, que o OGMO/Paranaguá poderá, também por sua iniciativa, de...</t>
        </is>
      </c>
      <c r="O174" s="2" t="inlineStr">
        <is>
          <t>compensação de jornada, desde que respeitadas as disposições legais.</t>
        </is>
      </c>
      <c r="P174" s="2" t="inlineStr"/>
      <c r="Q174" s="2" t="inlineStr"/>
    </row>
    <row r="175">
      <c r="A175" s="2" t="n">
        <v>174</v>
      </c>
      <c r="B175" s="2" t="inlineStr">
        <is>
          <t>355-TA-CCT-SIND TRAB EMP SERV CONT ASS PER INF PESQ EMP PREST SERV-01-07-2024.pdf</t>
        </is>
      </c>
      <c r="C175" s="2" t="inlineStr">
        <is>
          <t>PLOTTER ENGENHARIA LTDA.</t>
        </is>
      </c>
      <c r="D175" s="2" t="inlineStr">
        <is>
          <t>SIND TRAB EMP SERV CONT ASS PER INF PESQ EMP PREST SERV</t>
        </is>
      </c>
      <c r="E175" s="2" t="inlineStr">
        <is>
          <t>74.174.095/0001-04</t>
        </is>
      </c>
      <c r="F175" s="2" t="inlineStr">
        <is>
          <t>79.583.241/0001-60</t>
        </is>
      </c>
      <c r="G175" s="2" t="inlineStr">
        <is>
          <t>01º de
julho de 2024</t>
        </is>
      </c>
      <c r="H175" s="2" t="inlineStr">
        <is>
          <t>30 de junho de 2026</t>
        </is>
      </c>
      <c r="I175" s="2" t="inlineStr">
        <is>
          <t>01º de
julho de 2024</t>
        </is>
      </c>
      <c r="J175" s="2" t="inlineStr"/>
      <c r="K175" s="2" t="inlineStr"/>
      <c r="L175" s="2" t="inlineStr"/>
      <c r="M175" s="2" t="inlineStr"/>
      <c r="N175" s="2" t="inlineStr">
        <is>
          <t>Não especificado</t>
        </is>
      </c>
      <c r="O175" s="2" t="inlineStr"/>
      <c r="P175" s="2" t="inlineStr"/>
      <c r="Q175" s="2" t="inlineStr"/>
    </row>
    <row r="176">
      <c r="A176" s="2" t="n">
        <v>175</v>
      </c>
      <c r="B176" s="2" t="inlineStr">
        <is>
          <t>355-TA-CCT-SIND TRAB EMP SERV CONT ASS PER INF PESQ EMP PREST SERV-08-06-2026.pdf</t>
        </is>
      </c>
      <c r="C176" s="2" t="inlineStr">
        <is>
          <t>FORCONTABIL ASSESSORIA EMPRESARIAL S.S.</t>
        </is>
      </c>
      <c r="D176" s="2" t="inlineStr">
        <is>
          <t>SIND TRAB EMP SERV CONT ASS PER INF PESQ EMP PREST SERV</t>
        </is>
      </c>
      <c r="E176" s="2" t="inlineStr">
        <is>
          <t>04.837.906/0001-16</t>
        </is>
      </c>
      <c r="F176" s="2" t="inlineStr">
        <is>
          <t>79.583.241/0001-60</t>
        </is>
      </c>
      <c r="G176" s="2" t="inlineStr">
        <is>
          <t>08 de
junho de 2026</t>
        </is>
      </c>
      <c r="H176" s="2" t="inlineStr">
        <is>
          <t>31 de agosto de 2026</t>
        </is>
      </c>
      <c r="I176" s="2" t="inlineStr">
        <is>
          <t>08 de
junho de 2026</t>
        </is>
      </c>
      <c r="J176" s="2" t="inlineStr"/>
      <c r="K176" s="2" t="inlineStr"/>
      <c r="L176" s="2" t="inlineStr"/>
      <c r="M176" s="2" t="inlineStr"/>
      <c r="N176" s="2" t="inlineStr">
        <is>
          <t>Não especificado</t>
        </is>
      </c>
      <c r="O176" s="2" t="inlineStr">
        <is>
          <t>banco de horas, desta forma, as horas que deixarem</t>
        </is>
      </c>
      <c r="P176" s="2" t="inlineStr"/>
      <c r="Q176" s="2" t="inlineStr"/>
    </row>
    <row r="177">
      <c r="A177" s="2" t="n">
        <v>176</v>
      </c>
      <c r="B177" s="2" t="inlineStr">
        <is>
          <t>355-TA-CCT-SIND TRAB EMP SERV CONT ASS PER INF PESQ EMP PREST SERV-21-01-2026.pdf</t>
        </is>
      </c>
      <c r="C177" s="2" t="inlineStr">
        <is>
          <t>SIND TRAB EMP SERV CONT ASS PER INF PESQ EMP PREST SERV</t>
        </is>
      </c>
      <c r="D177" s="2" t="inlineStr">
        <is>
          <t>INSTITUTO DE BIOLOGIA MOLECULAR DO PARANA - IBMP</t>
        </is>
      </c>
      <c r="E177" s="2" t="inlineStr">
        <is>
          <t>79.583.241/0001-60</t>
        </is>
      </c>
      <c r="F177" s="2" t="inlineStr">
        <is>
          <t>03.585.986/0001-05</t>
        </is>
      </c>
      <c r="G177" s="2" t="inlineStr">
        <is>
          <t>21 de
janeiro de 2026</t>
        </is>
      </c>
      <c r="H177" s="2" t="inlineStr">
        <is>
          <t>20 de janeiro de 2027</t>
        </is>
      </c>
      <c r="I177" s="2" t="inlineStr">
        <is>
          <t>21 de
janeiro de 2026</t>
        </is>
      </c>
      <c r="J177" s="2" t="inlineStr"/>
      <c r="K177" s="2" t="inlineStr"/>
      <c r="L177" s="2" t="inlineStr"/>
      <c r="M177" s="2" t="inlineStr"/>
      <c r="N177" s="2" t="inlineStr">
        <is>
          <t>**Auxílio Transporte / Vale-transporte**:
Auxílio Transporte
**Refeição / Alimentação (VA/VR)**:
VALE REFEIÇÃO Fica alterado o valor do benefício Vale-Refeição, previsto na
**Auxílio Creche**:
Auxílio Creche</t>
        </is>
      </c>
      <c r="O177" s="2" t="inlineStr"/>
      <c r="P177" s="2" t="inlineStr"/>
      <c r="Q177" s="2" t="inlineStr"/>
    </row>
    <row r="178">
      <c r="A178" s="2" t="n">
        <v>177</v>
      </c>
      <c r="B178" s="2" t="inlineStr">
        <is>
          <t>356-TA-CCT-SIND DOS MOT COND DE VEIC ROD, URB E EM GERAL - TRAB EM TRANS ROD DE CAFEL, FSA DO OESTE, GOIOERE, IRACEMA, JESUITAS, N. AURORA, QRTO CENT - PR - SETCEPAR - SINDICATO DAS EMPRESAS DE TRANSPORTES DE CARGAS N-01-05-2025.pdf</t>
        </is>
      </c>
      <c r="C178" s="2" t="inlineStr">
        <is>
          <t>SETCEPAR - SINDICATO DAS EMPRESAS DE TRANSPORTES DE CARGAS NO ESTADO DO PARANA</t>
        </is>
      </c>
      <c r="D178" s="2" t="inlineStr">
        <is>
          <t>SIND DOS MOT COND DE VEIC ROD, URB E EM GERAL - TRAB EM TRANS ROD DE CAFEL, FSA DO OESTE, GOIOERE, IRACEMA, JESUITAS, N. AURORA, QRTO CENT - PR</t>
        </is>
      </c>
      <c r="E178" s="2" t="inlineStr">
        <is>
          <t>76.684.737/0001-32</t>
        </is>
      </c>
      <c r="F178" s="2" t="inlineStr">
        <is>
          <t>19.933.049/0001-25</t>
        </is>
      </c>
      <c r="G178" s="2" t="inlineStr"/>
      <c r="H178" s="2" t="inlineStr"/>
      <c r="I178" s="2" t="inlineStr">
        <is>
          <t>01º
de maio de 2025</t>
        </is>
      </c>
      <c r="J178" s="2" t="inlineStr">
        <is>
          <t>5,32%</t>
        </is>
      </c>
      <c r="K178" s="2" t="inlineStr"/>
      <c r="L178" s="2" t="inlineStr">
        <is>
          <t>contribuição sindical e contribuição assistencial, com os respectivos dados dos empregados (nome, função, data de admissão, valor do salário e valor do recolhimento) até 15 (quinze) dias após o recolhimento destas verbas. Contribuições Sindicais</t>
        </is>
      </c>
      <c r="M178" s="2" t="inlineStr"/>
      <c r="N178" s="2" t="inlineStr">
        <is>
          <t>**Auxílio Transporte / Vale-transporte**:
vale transporte, passagem, pagamento de quilometragem em veículo próprio do empregado, não integrarão o salário do empregado, nem gerarão quaisquer outros efeitos trabalhistas. Da mesma forma não integrarão o salário nem gerarão efeitos trabalhistas, o fornecimento de bolsa de estudos aos empregados que estejam cursando curso superior, ou outros cursos de aperfeiçoamento e especialização. PARÁGRAF...
**Refeição / Alimentação (VA/VR)**:
vale alimentação, a todos os seus empregados, nos dias em que estes trabalharem, no valor de R$ 30,00 (trinta reais), cada um, não caracterizando-se tal benefício como de natureza salarial. PARÁGRAFO PRIMEIRO – Não se aplica esta
**Plano de Saúde / Assistência Médica**:
CONVÊNIO MÉDICO As empresas ficam obrigadas a manter convênio médico para atendimento ambulatorial completo (consultas e exames laboratoriais), para todos os seus empregados e dependentes. PARÁGRAFO PRIMEIRO – DESCONTO DO EMPREGADO – As empresas poderão descontar dos salários dos empregados o equivalente a 30% (trinta por cento) do custo total do benefício dos empregados e podem descontar até 45% ...
**Seguro de Vida**:
Seguro de Vida
**Bolsa / Estudo**:
bolsa de estudos aos empregados que estejam cursando curso superior, ou outros cursos de aperfeiçoamento e especialização. PARÁGRAFO ÚNICO – Uma vez autorizado o desconto, individual ou coletivamente, o empregado não mais poderá pleitear a devolução dos valores descontados, seja judicial ou extrajudicialmente. Contrato de Trabalho – Admissão, Demissão, Modalidades Aviso Prévio
**Diárias / Ressarcimento**:
Diárias, previsto na presente Convenção. PARÁGRAFO SEGUNDO – As empresas que optarem pelo sistema PAT – Programa de Alimentação ao Trabalhador, poderão descontar dos salários dos empregados beneficiados por esta
**Adicional de Periculosidade**:
Adicional de Periculosidade
**Adicional Noturno**:
Adicional Noturno
**Horas Extras**:
hora extra previsto neste instrumento. Havendo débito contra o trabalhador, o saldo negativo será perdoado pela empresa. PARÁGRAFO SEGUNDO – Para cada hora extraordinária laborada em dia comum de trabalho, a compensação também será de uma hora. Para cada hora laborada em dia feriado ou destinado ao descanso semanal, a compensação irá gerar o direito de reduzir 2 (duas) horas de um dia comum. PARÁG...
**Descanso Semanal Remunerado**:
descanso semanal, a compensação irá gerar o direito de reduzir 2 (duas) horas de um dia comum. PARÁGRAFO TERCEIRO – Havendo rescisão contratual será apurado o saldo de horas. Havendo crédito para o trabalhador, as horas deverão ser pagas na rescisão, com adicional correspondente. Havendo saldo negativo, o mesmo será perdoado e nada será descontado do empregado. PARÁGRAFO QUARTO – As empresas ficam...
**FGTS**:
FGTS). Na CTPS deverão ser anotadas as parcelas fixas e percentuais de comissões, quando existentes.</t>
        </is>
      </c>
      <c r="O178" s="2" t="inlineStr">
        <is>
          <t>Compensação de Jornada</t>
        </is>
      </c>
      <c r="P178" s="2" t="inlineStr">
        <is>
          <t>aviso prévio indenizado, bem como, outros</t>
        </is>
      </c>
      <c r="Q178" s="2" t="inlineStr"/>
    </row>
    <row r="179">
      <c r="A179" s="2" t="n">
        <v>178</v>
      </c>
      <c r="B179" s="2" t="inlineStr">
        <is>
          <t>357-CCT-SIND TRAB IND CONSTR ESTR PAV MONT TER PUB PRIV EST PR - SINDICATO DA INDUSTRIA DA CONSTRUCAO PESADA DO ESTADO DO PAR-01-06-2025.pdf</t>
        </is>
      </c>
      <c r="C179" s="2" t="inlineStr">
        <is>
          <t>SIND TRAB IND CONSTR ESTR PAV MONT TER PUB PRIV EST PR</t>
        </is>
      </c>
      <c r="D179" s="2" t="inlineStr">
        <is>
          <t>SINDICATO DA INDUSTRIA DA CONSTRUCAO PESADA DO ESTADO DO PARANA</t>
        </is>
      </c>
      <c r="E179" s="2" t="inlineStr">
        <is>
          <t>79.776.878/0001-73</t>
        </is>
      </c>
      <c r="F179" s="2" t="inlineStr"/>
      <c r="G179" s="2" t="inlineStr">
        <is>
          <t>01º de junho de 2025</t>
        </is>
      </c>
      <c r="H179" s="2" t="inlineStr">
        <is>
          <t>31
de maio de 2026</t>
        </is>
      </c>
      <c r="I179" s="2" t="inlineStr">
        <is>
          <t>01º de junho de 2025</t>
        </is>
      </c>
      <c r="J179" s="2" t="inlineStr">
        <is>
          <t>6,50%</t>
        </is>
      </c>
      <c r="K179" s="2" t="inlineStr"/>
      <c r="L179" s="2" t="inlineStr">
        <is>
          <t>50% - contribuição sindical e taxa de reversão salarial), descontadas dos salários dos empregados. PARÁGRAFO SEGUNDO: Ante a opção por tal sistemática e a comprovação dos critérios estabelecidos no parágrafo anterior, será formalizado Acordo Coletivo de Trabalho, com as condições a seguir transcritas. PAR...</t>
        </is>
      </c>
      <c r="M179" s="2" t="inlineStr"/>
      <c r="N179" s="2" t="inlineStr">
        <is>
          <t>**Auxílio Transporte / Vale-transporte**:
vale transporte, em quantidade necessária ao trajeto de ida e volta, para os dias a serem trabalhados no mês. PARÁGRAFO PRIMEIRO: O desconto do vale transporte, para os trabalhadores que utilizarem de transporte público coletivo, para deslocamento residência trabalho e trabalho residência, será de, no máximo, 3% (três por cento) do salário base do trabalhador. PARÁGRAFO SEGUNDO: Nos casos em que o...
**Refeição / Alimentação (VA/VR)**: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substituição ocorrerá, a critério do empregad...
**Auxílio Creche**:
CRECHE E PRÉ-ESCOLA Determina-se a instalação de local destinado a guarda de crianças em idade de amamentação, quando existirem na empresa, por estabelecimento, mais de 30 (trinta) mulheres maiores de 16 (dezesseis) anos de idade, facultado o convênio com creches. Estabilidade Aposentadoria
**Seguro de Vida**:
Seguro de Vida
**Cesta Básica**:
cesta básica poderá ser substituída por vale alimentação, no valor mínimo de R$ 400,00 (quatrocentos reais), a ser creditado no cartão alimentação, para fins de garantia mínima e cotação de valores, fixando-se como valor mensal do benefício, sendo considerado que esse valor guarda equivalência com o custo médio, aferido no varejo, para a aquisição dos itens da cesta básica, acima indicados A subst...
**PPR / Participação nos Lucros**:
Participação nos Lucros e/ou Resultados
**Diárias / Ressarcimento**:
diárias (café, almoço e jantar) sendo que o almoço e o jantar deverão ser compostos de uma refeição balanceada, em quantidade suficiente para suprir as necessidades diárias de carboidratos, proteínas e vitaminas, com a salada servida ou acondicionada em separado e com fornecimento de suco ou outra bebida, além da água potável. PARÁGRAFO QUARTO: Para os empregados não alojados, a empresa poderá opt...
**Adicional de Periculosidade**: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que não sejam efetivados apó...
**Adicional de Insalubridade**: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cômputo os empregados ...
**Adicional Noturno**:
adicional noturno, adicional de insalubridade, adicional de periculosidade, anuênios, gratificações de função, adicional de transferência, etc. 4.2 – Os critérios de proporcionalidade, que deverão ser obedecidos, são os seguintes: a) os trabalhadores, admitidos a partir da vigência deste PPR, terão o direito ao pagamento proporcional, conforme o número de meses trabalhados, excluindo-se de tal côm...
**Horas Extras**:
hora extra ao dia. PARÁGRAFO OITAVO: O tempo despendido com o café da manhã, nos termos do caput e do § 1º, bem como o fornecimento do lanche de que trata o § 7º, não será computado na jornada de trabalho. PARÁGRAFO NONO: Assegura-se o direito ao empregado, que recebe ticket refeição, solicitar a troca deste pelo vale alimentação que, neste caso, deve ser concedido em cartão distinto e não poderá ...
**Descanso Semanal Remunerado**:
descanso semanal remunerado, bem como as horas extraordinárias e seus respectivos adicionais, com destaque para o reflexo das horas extras no DSR. PARÁGRAFO QUINTO: Aos empregados, lotados em obras nas quais, por sua especificidade, a jornada legal seja fixada em 180 horas mensais, será assegurado salário equivalente ao devido para a jornada de 220,00 horas mensais. PARÁGRAFO SEXTO: Insere-se, em ...
**Abono de Faltas**:
ABONO DE FALTAS PARA O EMPREGADO ESTUDANTE Será abonada a falta do empregado estudante, no horário do exame escolar, inclusive exame vestibular ao curso superior, coincidente com a jornada normal de trabalho, quando este ocorrer na base territorial de seu sindicato, desde que, em estabelecimento oficial de ensino. Para que se cumpra o objeto da presente</t>
        </is>
      </c>
      <c r="O179" s="2" t="inlineStr">
        <is>
          <t>Compensação de Jornada</t>
        </is>
      </c>
      <c r="P179" s="2" t="inlineStr">
        <is>
          <t>Aviso Prévio
Indenizado" uma vez que a atividade poderá ser retomada durante este período. Nesse caso, a</t>
        </is>
      </c>
      <c r="Q179" s="2" t="inlineStr">
        <is>
          <t>penalidade de valor equivalente a 0,5% (meio por cento) do salário do empregado, contada a</t>
        </is>
      </c>
    </row>
    <row r="180">
      <c r="A180" s="2" t="n">
        <v>179</v>
      </c>
      <c r="B180" s="2" t="inlineStr">
        <is>
          <t>357-TA-CCT-SIND TRAB IND CONSTR ESTR PAV MONT TER PUB PRIV EST PR-01-12-2025.pdf</t>
        </is>
      </c>
      <c r="C180" s="2" t="inlineStr">
        <is>
          <t>SIND TRAB IND CONSTR ESTR PAV MONT TER PUB PRIV EST PR</t>
        </is>
      </c>
      <c r="D180" s="2" t="inlineStr">
        <is>
          <t>CONSORCIO DT PR-445</t>
        </is>
      </c>
      <c r="E180" s="2" t="inlineStr">
        <is>
          <t>79.776.878/0001-73</t>
        </is>
      </c>
      <c r="F180" s="2" t="inlineStr">
        <is>
          <t>44.478.991/0001-98</t>
        </is>
      </c>
      <c r="G180" s="2" t="inlineStr">
        <is>
          <t>01º de
dezembro de 2025</t>
        </is>
      </c>
      <c r="H180" s="2" t="inlineStr">
        <is>
          <t>31 de maio de 2026</t>
        </is>
      </c>
      <c r="I180" s="2" t="inlineStr">
        <is>
          <t>01º de
dezembro de 2025</t>
        </is>
      </c>
      <c r="J180" s="2" t="inlineStr"/>
      <c r="K180" s="2" t="inlineStr"/>
      <c r="L180" s="2" t="inlineStr"/>
      <c r="M180" s="2" t="inlineStr"/>
      <c r="N180" s="2" t="inlineStr">
        <is>
          <t>**Cesta Básica**:
CESTA BÁSICA Em substituição a Cesta Básica, estabelecida na Convenção Coletiva de Trabalho, fica ajustado que a empresa fornecerá mensalmente e sem ônus para os seus empregados, Cesta Básica/Cartão-Alimentação da seguinte forma: a) R$ 900,00 (novecentos reais), de janeiro a maio de 2026. PARÁGRAFO PRIMEIRO: O pagamento do benefício da "Cesta Básica/Alimentação/Vale Compras” é de ônus exclusivo do...
**PPR / Participação nos Lucros**:
Participação nos Lucros e/ou Resultados</t>
        </is>
      </c>
      <c r="O180" s="2" t="inlineStr"/>
      <c r="P180" s="2" t="inlineStr"/>
      <c r="Q180" s="2" t="inlineStr"/>
    </row>
  </sheetData>
  <autoFilter ref="A1:Q1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cols>
    <col width="28" customWidth="1" min="1" max="1"/>
    <col width="80" customWidth="1" min="2" max="2"/>
    <col hidden="1" width="13" customWidth="1" min="8" max="8"/>
  </cols>
  <sheetData>
    <row r="1" ht="30" customHeight="1">
      <c r="A1" s="3" t="inlineStr">
        <is>
          <t>DASHBOARD - CONVENÇÕES COLETIVAS DE TRABALHO</t>
        </is>
      </c>
      <c r="H1" t="inlineStr">
        <is>
          <t>1 - 100-CCT-SINDICATO DOS TRAB NAS IND DO VEST DE CVEL E REGIAO - SINDICATO DA INDUSTRIA DO VESTUARIO DO OESTE DO PARANA - SIN-01-09-2025.pdf</t>
        </is>
      </c>
    </row>
    <row r="2">
      <c r="A2" s="4" t="inlineStr">
        <is>
          <t>Atualizado em: 24/06/2026 17:57</t>
        </is>
      </c>
      <c r="H2" t="inlineStr">
        <is>
          <t>2 - 100-CCT-SINDICATO DOS TRAB NAS IND DO VEST DE CVEL E REGIAO-01-09-2025.pdf</t>
        </is>
      </c>
    </row>
    <row r="3">
      <c r="H3" t="inlineStr">
        <is>
          <t>3 - 110-CCT-SINDICATO DOS EMPREGADOS NOCOMERCIO DO EXTREMOESTE SC - SINDICATO DO COMERCIO VAREJISTA E ATACADISTA DO EXTREMO OEST-01-05-2026.pdf</t>
        </is>
      </c>
    </row>
    <row r="4">
      <c r="A4" s="5" t="inlineStr">
        <is>
          <t>Selecione uma convenção no dropdown abaixo para visualizar os detalhes:</t>
        </is>
      </c>
      <c r="H4" t="inlineStr">
        <is>
          <t>4 - 110-CCT-SINDICATO DOS EMPREGADOS NOCOMERCIO DO EXTREMOESTE SC-01-05-2026.pdf</t>
        </is>
      </c>
    </row>
    <row r="5" ht="25" customHeight="1">
      <c r="A5" s="6" t="inlineStr">
        <is>
          <t>Convenção:</t>
        </is>
      </c>
      <c r="B5" s="7" t="n"/>
      <c r="H5" t="inlineStr">
        <is>
          <t>5 - 110-TA-CCT-SINDICATO DOS EMPREGADOS NOCOMERCIO DO EXTREMOESTE SC - SINDICATO DO COMERCIO VAREJISTA E ATACADISTA DO EXTREMO OEST-01-05-2026.pdf</t>
        </is>
      </c>
    </row>
    <row r="6">
      <c r="H6" t="inlineStr">
        <is>
          <t>6 - 110-TA-CCT-SINDICATO DOS EMPREGADOS NOCOMERCIO DO EXTREMOESTE SC-01-05-2026.pdf</t>
        </is>
      </c>
    </row>
    <row r="7" ht="50" customHeight="1">
      <c r="A7" s="8" t="inlineStr">
        <is>
          <t>Empregados (Parte):</t>
        </is>
      </c>
      <c r="B7" s="9">
        <f>IF(B5="","",VLOOKUP(VALUE(LEFT(B5,FIND(" -",B5)-1)),Dados!A:C,3,FALSE))</f>
        <v/>
      </c>
      <c r="H7" t="inlineStr">
        <is>
          <t>7 - 111-CCT-SINDICATO DOS TRABALHADORES NAS INDUSTRIAS DA FIACAO, TECELAGEM E VESTUARIO DE CHAPECO E OESTE DE SANTA CATARINA - SINDICATO DAS IND DO VESTUARIO DO OESTE DE SC-01-02-2026.pdf</t>
        </is>
      </c>
    </row>
    <row r="8" ht="50" customHeight="1">
      <c r="A8" s="8" t="inlineStr">
        <is>
          <t>Empregadores (Parte):</t>
        </is>
      </c>
      <c r="B8" s="9">
        <f>IF(B5="","",VLOOKUP(VALUE(LEFT(B5,FIND(" -",B5)-1)),Dados!A:D,4,FALSE))</f>
        <v/>
      </c>
      <c r="H8" t="inlineStr">
        <is>
          <t>8 - 111-CCT-SINDICATO DOS TRABALHADORES NAS INDUSTRIAS DA FIACAO, TECELAGEM E VESTUARIO DE CHAPECO E OESTE DE SANTA CATARINA - SINDICATO DAS INDUSTRIAS DO VESTUARIO, FIACAO, TECELAGEM, CA-01-01-2026.pdf</t>
        </is>
      </c>
    </row>
    <row r="9" ht="50" customHeight="1">
      <c r="A9" s="8" t="inlineStr">
        <is>
          <t>CNPJ Empregados:</t>
        </is>
      </c>
      <c r="B9" s="9">
        <f>IF(B5="","",VLOOKUP(VALUE(LEFT(B5,FIND(" -",B5)-1)),Dados!A:E,5,FALSE))</f>
        <v/>
      </c>
      <c r="H9" t="inlineStr">
        <is>
          <t>9 - 111-CCT-SINDICATO DOS TRABALHADORES NAS INDUSTRIAS DA FIACAO, TECELAGEM E VESTUARIO DE CHAPECO E OESTE DE SANTA CATARINA-01-01-2026.pdf</t>
        </is>
      </c>
    </row>
    <row r="10" ht="50" customHeight="1">
      <c r="A10" s="8" t="inlineStr">
        <is>
          <t>CNPJ Empregadores:</t>
        </is>
      </c>
      <c r="B10" s="9">
        <f>IF(B5="","",VLOOKUP(VALUE(LEFT(B5,FIND(" -",B5)-1)),Dados!A:F,6,FALSE))</f>
        <v/>
      </c>
      <c r="H10" t="inlineStr">
        <is>
          <t>10 - 111-CCT-SINDICATO DOS TRABALHADORES NAS INDUSTRIAS DA FIACAO, TECELAGEM E VESTUARIO DE CHAPECO E OESTE DE SANTA CATARINA-01-02-2026.pdf</t>
        </is>
      </c>
    </row>
    <row r="11" ht="50" customHeight="1">
      <c r="A11" s="8" t="inlineStr">
        <is>
          <t>Vigência:</t>
        </is>
      </c>
      <c r="B11" s="9">
        <f>IF(B5="","",VLOOKUP(VALUE(LEFT(B5,FIND(" -",B5)-1)),Dados!A:H,8,FALSE))</f>
        <v/>
      </c>
      <c r="H11" t="inlineStr">
        <is>
          <t>11 - 111-TA-CCT-SINDICATO DOS TRABALHADORES NAS INDUSTRIAS DA FIACAO, TECELAGEM E VESTUARIO DE CHAPECO E OESTE DE SANTA CATARINA - SINDICATO DAS IND DO VESTUARIO DO OESTE DE SC-01-02-2026.pdf</t>
        </is>
      </c>
    </row>
    <row r="12" ht="50" customHeight="1">
      <c r="A12" s="8" t="inlineStr">
        <is>
          <t>Data-Base:</t>
        </is>
      </c>
      <c r="B12" s="9">
        <f>IF(B5="","",VLOOKUP(VALUE(LEFT(B5,FIND(" -",B5)-1)),Dados!A:I,9,FALSE))</f>
        <v/>
      </c>
      <c r="H12" t="inlineStr">
        <is>
          <t>12 - 111-TA-CCT-SINDICATO DOS TRABALHADORES NAS INDUSTRIAS DA FIACAO, TECELAGEM E VESTUARIO DE CHAPECO E OESTE DE SANTA CATARINA-01-02-2026.pdf</t>
        </is>
      </c>
    </row>
    <row r="13" ht="50" customHeight="1">
      <c r="A13" s="8" t="inlineStr">
        <is>
          <t>Reajuste:</t>
        </is>
      </c>
      <c r="B13" s="9">
        <f>IF(B5="","",VLOOKUP(VALUE(LEFT(B5,FIND(" -",B5)-1)),Dados!A:J,10,FALSE))</f>
        <v/>
      </c>
      <c r="H13" t="inlineStr">
        <is>
          <t>13 - 111-TA-CCT-SINDICATO DOS TRABALHADORES NAS INDUSTRIAS DA FIACAO, TECELAGEM E VESTUARIO DE CHAPECO E OESTE DE SANTA CATARINA-01-05-2026.pdf</t>
        </is>
      </c>
    </row>
    <row r="14" ht="50" customHeight="1">
      <c r="A14" s="8" t="inlineStr">
        <is>
          <t>Pisos Salariais:</t>
        </is>
      </c>
      <c r="B14" s="9">
        <f>IF(B5="","",VLOOKUP(VALUE(LEFT(B5,FIND(" -",B5)-1)),Dados!A:K,11,FALSE))</f>
        <v/>
      </c>
      <c r="H14" t="inlineStr">
        <is>
          <t>14 - 114-CCT-SINDICATO DOS EMPREGADOS NO COMERCIO DE TOLEDO - FEDERACAO DO COMERCIO DE BENS, SERVICOS E TURISMO DO PARANA-01-06-2025.pdf</t>
        </is>
      </c>
    </row>
    <row r="15" ht="50" customHeight="1">
      <c r="A15" s="8" t="inlineStr">
        <is>
          <t>Contribuição Empregados:</t>
        </is>
      </c>
      <c r="B15" s="9">
        <f>IF(B5="","",VLOOKUP(VALUE(LEFT(B5,FIND(" -",B5)-1)),Dados!A:L,12,FALSE))</f>
        <v/>
      </c>
      <c r="H15" t="inlineStr">
        <is>
          <t>15 - 114-CCT-SINDICATO DOS EMPREGADOS NO COMERCIO DE TOLEDO - SIND DOS ESTABELECIMENTOS DE SERV FUNERARIO EST PARANA-01-06-2024.pdf</t>
        </is>
      </c>
    </row>
    <row r="16" ht="50" customHeight="1">
      <c r="A16" s="8" t="inlineStr">
        <is>
          <t>Contribuição Patronal:</t>
        </is>
      </c>
      <c r="B16" s="9">
        <f>IF(B5="","",VLOOKUP(VALUE(LEFT(B5,FIND(" -",B5)-1)),Dados!A:M,13,FALSE))</f>
        <v/>
      </c>
      <c r="H16" t="inlineStr">
        <is>
          <t>16 - 114-CCT-SINDICATO DOS EMPREGADOS NO COMERCIO DE TOLEDO - SINDICATO DAS EMPRESAS CEREALISTAS DO ESTADO DO PARANA - SIN-01-06-2025.pdf</t>
        </is>
      </c>
    </row>
    <row r="17" ht="50" customHeight="1">
      <c r="A17" s="8" t="inlineStr">
        <is>
          <t>Benefícios:</t>
        </is>
      </c>
      <c r="B17" s="9">
        <f>IF(B5="","",VLOOKUP(VALUE(LEFT(B5,FIND(" -",B5)-1)),Dados!A:N,14,FALSE))</f>
        <v/>
      </c>
      <c r="H17" t="inlineStr">
        <is>
          <t>17 - 114-CCT-SINDICATO DOS EMPREGADOS NO COMERCIO DE TOLEDO - SINDICATO DO COMERCIO VAREJISTA DE MATERIAL OPTICO, FOTOGRAF-01-06-2025.pdf</t>
        </is>
      </c>
    </row>
    <row r="18" ht="50" customHeight="1">
      <c r="A18" s="8" t="inlineStr">
        <is>
          <t>Jornada:</t>
        </is>
      </c>
      <c r="B18" s="9">
        <f>IF(B5="","",VLOOKUP(VALUE(LEFT(B5,FIND(" -",B5)-1)),Dados!A:O,15,FALSE))</f>
        <v/>
      </c>
      <c r="H18" t="inlineStr">
        <is>
          <t>18 - 114-CCT-SINDICATO DOS EMPREGADOS NO COMERCIO DE TOLEDO - SINDICATO DO COMERCIO VAREJISTA DE TOLEDO-01-06-2025.pdf</t>
        </is>
      </c>
    </row>
    <row r="19" ht="50" customHeight="1">
      <c r="A19" s="8" t="inlineStr">
        <is>
          <t>Aviso Prévio:</t>
        </is>
      </c>
      <c r="B19" s="9">
        <f>IF(B5="","",VLOOKUP(VALUE(LEFT(B5,FIND(" -",B5)-1)),Dados!A:P,16,FALSE))</f>
        <v/>
      </c>
      <c r="H19" t="inlineStr">
        <is>
          <t>19 - 114-CCT-SINDICATO DOS EMPREGADOS NO COMERCIO DE TOLEDO - SINDICATO INTERMUNICIPAL DO COMERCIO VAREJISTA DE MATERIAIS-01-06-2025.pdf</t>
        </is>
      </c>
    </row>
    <row r="20" ht="50" customHeight="1">
      <c r="A20" s="8" t="inlineStr">
        <is>
          <t>Multa:</t>
        </is>
      </c>
      <c r="B20" s="9">
        <f>IF(B5="","",VLOOKUP(VALUE(LEFT(B5,FIND(" -",B5)-1)),Dados!A:Q,17,FALSE))</f>
        <v/>
      </c>
      <c r="H20" t="inlineStr">
        <is>
          <t>20 - 114-CCT-SINDICATO DOS EMPREGADOS NO COMERCIO DE TOLEDO - SINDICATO PATRONAL DO COMERCIO VAREJISTA DE MARECHAL CANDIDO-01-06-2025.pdf</t>
        </is>
      </c>
    </row>
    <row r="21">
      <c r="H21" t="inlineStr">
        <is>
          <t>21 - 117-CCT-SINDICATO DOS EMPREGADOS EM ENTIDADES CULTURAIS, RECREATIVAS, DE ASSISTENCIA SOCIAL, DE ORIENTACAO E FORMACAO PROFISSIONAL, NO ESTADO DO PARANA. - SINDICATO DOS CLUBES ESPORTIVOS, DE CULTURA FISICA E HIPICOS-01-09-2024.pdf</t>
        </is>
      </c>
    </row>
    <row r="22">
      <c r="A22" s="10" t="inlineStr">
        <is>
          <t>Instruções:</t>
        </is>
      </c>
      <c r="H22" t="inlineStr">
        <is>
          <t>22 - 117-CCT-SINDICATO DOS EMPREGADOS EM ENTIDADES CULTURAIS, RECREATIVAS, DE ASSISTENCIA SOCIAL, DE ORIENTACAO E FORMACAO PROFISSIONAL, NO ESTADO DO PARANA. - SINDICATO ENTIDADES CULTURAIS RECR.ASS SOC FOR PROF.PR e Out-01-10-2025.pdf</t>
        </is>
      </c>
    </row>
    <row r="23">
      <c r="A23" s="11" t="inlineStr">
        <is>
          <t>• Para atualizar os dados, execute: python extrair_cct_v2.py</t>
        </is>
      </c>
      <c r="H23" t="inlineStr">
        <is>
          <t>23 - 117-CCT-SINDICATO DOS EMPREGADOS EM ENTIDADES CULTURAIS, RECREATIVAS, DE ASSISTENCIA SOCIAL, DE ORIENTACAO E FORMACAO PROFISSIONAL, NO ESTADO DO PARANA.-01-05-2026.pdf</t>
        </is>
      </c>
    </row>
    <row r="24">
      <c r="A24" s="11" t="inlineStr">
        <is>
          <t>• Os dados são extraídos automaticamente dos PDFs da pasta 'convencoes'</t>
        </is>
      </c>
      <c r="H24" t="inlineStr">
        <is>
          <t>24 - 117-CCT-SINDICATO DOS EMPREGADOS EM ENTIDADES CULTURAIS, RECREATIVAS, DE ASSISTENCIA SOCIAL, DE ORIENTACAO E FORMACAO PROFISSIONAL, NO ESTADO DO PARANA.-01-09-2024.pdf</t>
        </is>
      </c>
    </row>
    <row r="25">
      <c r="H25" t="inlineStr">
        <is>
          <t>25 - 117-CCT-SINDICATO DOS EMPREGADOS EM ENTIDADES CULTURAIS, RECREATIVAS, DE ASSISTENCIA SOCIAL, DE ORIENTACAO E FORMACAO PROFISSIONAL, NO ESTADO DO PARANA.-01-10-2025.pdf</t>
        </is>
      </c>
    </row>
    <row r="26">
      <c r="H26" t="inlineStr">
        <is>
          <t>26 - 117-TA-CCT-SINDICATO DOS EMPREGADOS EM ENTIDADES CULTURAIS, RECREATIVAS, DE ASSISTENCIA SOCIAL, DE ORIENTACAO E FORMACAO PROFISSIONAL, NO ESTADO DO PARANA.-01-10-2025.pdf</t>
        </is>
      </c>
    </row>
    <row r="27">
      <c r="H27" t="inlineStr">
        <is>
          <t>27 - 117-TA-CCT-SINDICATO DOS EMPREGADOS EM ENTIDADES CULTURAIS, RECREATIVAS, DE ASSISTENCIA SOCIAL, DE ORIENTACAO E FORMACAO PROFISSIONAL, NO ESTADO DO PARANA.-01-11-2025.pdf</t>
        </is>
      </c>
    </row>
    <row r="28">
      <c r="H28" t="inlineStr">
        <is>
          <t>28 - 120-TA-CCT-SIND TRAB IND SER,CARP,MARCEN,TAN,MAD,COMP LAM,AGL CHAP FIBR MAD,OF MARC,IND M MAD,JUNC VIME,VASS,CORT E EST,ESC,PINC,E AFINS FCO BELTRAO - PR-04-06-2024.pdf</t>
        </is>
      </c>
    </row>
    <row r="29">
      <c r="H29" t="inlineStr">
        <is>
          <t>29 - 122-CCT-SINDICATO DOS TRAB.IND.METAL.MEC.E MAT.ELETR.DE P.BRANCO E REGIAO SUDOESTE DO PR - FEDERACAO DOS TRABALHADORES EM TRANSP RODOV DO EST PR e Outr-01-01-2026.pdf</t>
        </is>
      </c>
    </row>
    <row r="30">
      <c r="H30" t="inlineStr">
        <is>
          <t>30 - 122-CCT-SINDICATO DOS TRAB.IND.METAL.MEC.E MAT.ELETR.DE P.BRANCO E REGIAO SUDOESTE DO PR - SINDICATO DAS IND METAL.MECAN MATER ELETR DE PATO BRANC-01-12-2024.pdf</t>
        </is>
      </c>
    </row>
    <row r="31">
      <c r="H31" t="inlineStr">
        <is>
          <t>31 - 122-CCT-SINDICATO DOS TRAB.IND.METAL.MEC.E MAT.ELETR.DE P.BRANCO E REGIAO SUDOESTE DO PR-01-01-2026.pdf</t>
        </is>
      </c>
    </row>
    <row r="32">
      <c r="H32" t="inlineStr">
        <is>
          <t>32 - 122-CCT-SINDICATO DOS TRAB.IND.METAL.MEC.E MAT.ELETR.DE P.BRANCO E REGIAO SUDOESTE DO PR-01-12-2024.pdf</t>
        </is>
      </c>
    </row>
    <row r="33">
      <c r="H33" t="inlineStr">
        <is>
          <t>33 - 123-CCT-SINDICATO DOS EMPREGADOS NO COMERCIO DE CASCAVEL E REGIAO - FEDERACAO DO COMERCIO DE BENS, SERVICOS E TURISMO DO PARANA-01-06-2025.pdf</t>
        </is>
      </c>
    </row>
    <row r="34">
      <c r="H34" t="inlineStr">
        <is>
          <t>34 - 123-CCT-SINDICATO DOS EMPREGADOS NO COMERCIO DE CASCAVEL E REGIAO - SIND DOS ESTABELECIMENTOS DE SERV FUNERARIO EST PARANA-01-06-2024.pdf</t>
        </is>
      </c>
    </row>
    <row r="35">
      <c r="H35" t="inlineStr">
        <is>
          <t>35 - 123-CCT-SINDICATO DOS EMPREGADOS NO COMERCIO DE CASCAVEL E REGIAO - SINDICATO DAS EMPRESAS CEREALISTAS DO ESTADO DO PARANA - SIN-01-06-2025.pdf</t>
        </is>
      </c>
    </row>
    <row r="36">
      <c r="H36" t="inlineStr">
        <is>
          <t>36 - 123-CCT-SINDICATO DOS EMPREGADOS NO COMERCIO DE CASCAVEL E REGIAO - SINDICATO DO COMERCIO VAREJISTA DE MATERIAL OPTICO, FOTOGRAF-01-06-2025.pdf</t>
        </is>
      </c>
    </row>
    <row r="37">
      <c r="H37" t="inlineStr">
        <is>
          <t>37 - 123-CCT-SINDICATO DOS EMPREGADOS NO COMERCIO DE CASCAVEL E REGIAO - SINDICATO DOS LOJISTAS E DO COMERCIO VAREJISTA DE CASCAVEL E-01-06-2025.pdf</t>
        </is>
      </c>
    </row>
    <row r="38">
      <c r="H38" t="inlineStr">
        <is>
          <t>38 - 123-CCT-SINDICATO DOS EMPREGADOS NO COMERCIO DE CASCAVEL E REGIAO - SINDICATO INTERMUNICIPAL DO COMERCIO VAREJISTA DE MATERIAIS-01-06-2025.pdf</t>
        </is>
      </c>
    </row>
    <row r="39">
      <c r="H39" t="inlineStr">
        <is>
          <t>39 - 123-CCT-SINDICATO DOS EMPREGADOS NO COMERCIO DE CASCAVEL E REGIAO-01-06-2025.pdf</t>
        </is>
      </c>
    </row>
    <row r="40">
      <c r="H40" t="inlineStr">
        <is>
          <t>40 - 123-TA-CCT-SINDICATO DOS EMPREGADOS NO COMERCIO DE CASCAVEL E REGIAO - SINDICATO DOS LOJISTAS E DO COMERCIO VAREJISTA DE CASCAVEL E-30-10-2025.pdf</t>
        </is>
      </c>
    </row>
    <row r="41">
      <c r="H41" t="inlineStr">
        <is>
          <t>41 - 130-CCT-SINDICATO DOS EMPREGADOS NO COMERCIO DE PATO BRANCO - SINDICATO DAS EMPRESAS CEREALISTAS DO ESTADO DO PARANA - SIN-01-06-2025.pdf</t>
        </is>
      </c>
    </row>
    <row r="42">
      <c r="H42" t="inlineStr">
        <is>
          <t>42 - 130-CCT-SINDICATO DOS EMPREGADOS NO COMERCIO DE PATO BRANCO - SINDICATO DO COM DE VEIC PECAS E ACES PARA VEIC, MOT E BIC,-01-06-2025.pdf</t>
        </is>
      </c>
    </row>
    <row r="43">
      <c r="H43" t="inlineStr">
        <is>
          <t>43 - 130-CCT-SINDICATO DOS EMPREGADOS NO COMERCIO DE PATO BRANCO - SINDICATO DO COMERCIO VAREJISTA DE MATERIAL OPTICO, FOTOGRAF-01-06-2025.pdf</t>
        </is>
      </c>
    </row>
    <row r="44">
      <c r="H44" t="inlineStr">
        <is>
          <t>44 - 130-CCT-SINDICATO DOS EMPREGADOS NO COMERCIO DE PATO BRANCO - SINDICATO INTERMUNICIPAL DO COMERCIO VAREJISTA DE MATERIAIS-01-06-2025.pdf</t>
        </is>
      </c>
    </row>
    <row r="45">
      <c r="H45" t="inlineStr">
        <is>
          <t>45 - 130-CCT-SINDICATO DOS EMPREGADOS NO COMERCIO DE PATO BRANCO - SINDICATO PATRONAL DO COMERCIO VAREJISTA DE PATO BRANCO-01-06-2025.pdf</t>
        </is>
      </c>
    </row>
    <row r="46">
      <c r="H46" t="inlineStr">
        <is>
          <t>46 - 134-CCT-SIND DOS MOTORISTAS, CONDUT. DE VEIC. RODOV URBANOS E EM GERAL, TRAB.TRANSP. ROD. PBCO - FEDERACAO DOS TRABALHADORES EM TRANSP RODOV DO EST PR e Outr-01-01-2026.pdf</t>
        </is>
      </c>
    </row>
    <row r="47">
      <c r="H47" t="inlineStr">
        <is>
          <t>47 - 134-CCT-SIND DOS MOTORISTAS, CONDUT. DE VEIC. RODOV URBANOS E EM GERAL, TRAB.TRANSP. ROD. PBCO - FEDERACAO DOS TRABALHADORES EM TRANSP RODOV DO EST PR e Outr-01-02-2026.pdf</t>
        </is>
      </c>
    </row>
    <row r="48">
      <c r="H48" t="inlineStr">
        <is>
          <t>48 - 134-CCT-SIND DOS MOTORISTAS, CONDUT. DE VEIC. RODOV URBANOS E EM GERAL, TRAB.TRANSP. ROD. PBCO - FEDERACAO DOS TRABALHADORES EM TRANSP RODOV DO EST PR e Outr-01-03-2025.pdf</t>
        </is>
      </c>
    </row>
    <row r="49">
      <c r="H49" t="inlineStr">
        <is>
          <t>49 - 134-CCT-SIND DOS MOTORISTAS, CONDUT. DE VEIC. RODOV URBANOS E EM GERAL, TRAB.TRANSP. ROD. PBCO - FEDERACAO DOS TRABALHADORES EM TRANSP RODOV DO EST PR e Outr-01-06-2025.pdf</t>
        </is>
      </c>
    </row>
    <row r="50">
      <c r="H50" t="inlineStr">
        <is>
          <t>50 - 134-CCT-SIND DOS MOTORISTAS, CONDUT. DE VEIC. RODOV URBANOS E EM GERAL, TRAB.TRANSP. ROD. PBCO-01-01-2026.pdf</t>
        </is>
      </c>
    </row>
    <row r="51">
      <c r="H51" t="inlineStr">
        <is>
          <t>51 - 134-CCT-SIND DOS MOTORISTAS, CONDUT. DE VEIC. RODOV URBANOS E EM GERAL, TRAB.TRANSP. ROD. PBCO-01-02-2026.pdf</t>
        </is>
      </c>
    </row>
    <row r="52">
      <c r="H52" t="inlineStr">
        <is>
          <t>52 - 134-CCT-SIND DOS MOTORISTAS, CONDUT. DE VEIC. RODOV URBANOS E EM GERAL, TRAB.TRANSP. ROD. PBCO-01-03-2025.pdf</t>
        </is>
      </c>
    </row>
    <row r="53">
      <c r="H53" t="inlineStr">
        <is>
          <t>53 - 134-CCT-SIND DOS MOTORISTAS, CONDUT. DE VEIC. RODOV URBANOS E EM GERAL, TRAB.TRANSP. ROD. PBCO-01-05-2025.pdf</t>
        </is>
      </c>
    </row>
    <row r="54">
      <c r="H54" t="inlineStr">
        <is>
          <t>54 - 134-CCT-SIND DOS MOTORISTAS, CONDUT. DE VEIC. RODOV URBANOS E EM GERAL, TRAB.TRANSP. ROD. PBCO-01-05-2026.pdf</t>
        </is>
      </c>
    </row>
    <row r="55">
      <c r="H55" t="inlineStr">
        <is>
          <t>55 - 134-CCT-SIND DOS MOTORISTAS, CONDUT. DE VEIC. RODOV URBANOS E EM GERAL, TRAB.TRANSP. ROD. PBCO-01-06-2025.pdf</t>
        </is>
      </c>
    </row>
    <row r="56">
      <c r="H56" t="inlineStr">
        <is>
          <t>56 - 134-CCT-SIND DOS MOTORISTAS, CONDUT. DE VEIC. RODOV URBANOS E EM GERAL, TRAB.TRANSP. ROD. PBCO-01-07-2024.pdf</t>
        </is>
      </c>
    </row>
    <row r="57">
      <c r="H57" t="inlineStr">
        <is>
          <t>57 - 134-CCT-SIND DOS MOTORISTAS, CONDUT. DE VEIC. RODOV URBANOS E EM GERAL, TRAB.TRANSP. ROD. PBCO-01-07-2025.pdf</t>
        </is>
      </c>
    </row>
    <row r="58">
      <c r="H58" t="inlineStr">
        <is>
          <t>58 - 134-CCT-SIND DOS MOTORISTAS, CONDUT. DE VEIC. RODOV URBANOS E EM GERAL, TRAB.TRANSP. ROD. PBCO-01-08-2025.pdf</t>
        </is>
      </c>
    </row>
    <row r="59">
      <c r="H59" t="inlineStr">
        <is>
          <t>59 - 134-CCT-SIND DOS MOTORISTAS, CONDUT. DE VEIC. RODOV URBANOS E EM GERAL, TRAB.TRANSP. ROD. PBCO-01-09-2025.pdf</t>
        </is>
      </c>
    </row>
    <row r="60">
      <c r="H60" t="inlineStr">
        <is>
          <t>60 - 134-CCT-SIND DOS MOTORISTAS, CONDUT. DE VEIC. RODOV URBANOS E EM GERAL, TRAB.TRANSP. ROD. PBCO-01-10-2025.pdf</t>
        </is>
      </c>
    </row>
    <row r="61">
      <c r="H61" t="inlineStr">
        <is>
          <t>61 - 134-CCT-SIND DOS MOTORISTAS, CONDUT. DE VEIC. RODOV URBANOS E EM GERAL, TRAB.TRANSP. ROD. PBCO-01-12-2024.pdf</t>
        </is>
      </c>
    </row>
    <row r="62">
      <c r="H62" t="inlineStr">
        <is>
          <t>62 - 134-TA-CCT-SIND DOS MOTORISTAS, CONDUT. DE VEIC. RODOV URBANOS E EM GERAL, TRAB.TRANSP. ROD. PBCO-01-05-2025.pdf</t>
        </is>
      </c>
    </row>
    <row r="63">
      <c r="H63" t="inlineStr">
        <is>
          <t>63 - 138-CCT-SINDICATO DOS EMPREGADOS NO COMERCIO HOTELEIRO E SIMILARES E EM TURISMO E HOSPITALIDADE DE CASCAVEL - SINCAP SINDICATO DOS SALOES DE CAB INS BEL E SIM EST PR-01-05-2025.pdf</t>
        </is>
      </c>
    </row>
    <row r="64">
      <c r="H64" t="inlineStr">
        <is>
          <t>64 - 138-CCT-SINDICATO DOS EMPREGADOS NO COMERCIO HOTELEIRO E SIMILARES E EM TURISMO E HOSPITALIDADE DE CASCAVEL - SINDICATO DOS EMPREGADOS NO COMERCIO HOTELEIRO, MEIOS DE HOS-01-05-2026.pdf</t>
        </is>
      </c>
    </row>
    <row r="65">
      <c r="H65" t="inlineStr">
        <is>
          <t>65 - 138-CCT-SINDICATO DOS EMPREGADOS NO COMERCIO HOTELEIRO E SIMILARES E EM TURISMO E HOSPITALIDADE DE CASCAVEL - SINDICATO DOS EMPREGADOS NO COMERCIO HOTELEIRO, MEIOS DE HOS-01-06-2025.pdf</t>
        </is>
      </c>
    </row>
    <row r="66">
      <c r="H66" t="inlineStr">
        <is>
          <t>66 - 138-CCT-SINDICATO DOS EMPREGADOS NO COMERCIO HOTELEIRO E SIMILARES E EM TURISMO E HOSPITALIDADE DE CASCAVEL - SINDICATO INTERESTADUAL DAS INSTITUICOES BENEFICENTES, RELIG-01-01-2025.pdf</t>
        </is>
      </c>
    </row>
    <row r="67">
      <c r="H67" t="inlineStr">
        <is>
          <t>67 - 138-CCT-SINDICATO DOS EMPREGADOS NO COMERCIO HOTELEIRO E SIMILARES E EM TURISMO E HOSPITALIDADE DE CASCAVEL-01-01-2025.pdf</t>
        </is>
      </c>
    </row>
    <row r="68">
      <c r="H68" t="inlineStr">
        <is>
          <t>68 - 138-CCT-SINDICATO DOS EMPREGADOS NO COMERCIO HOTELEIRO E SIMILARES E EM TURISMO E HOSPITALIDADE DE CASCAVEL-01-05-2025.pdf</t>
        </is>
      </c>
    </row>
    <row r="69">
      <c r="H69" t="inlineStr">
        <is>
          <t>69 - 138-CCT-SINDICATO DOS EMPREGADOS NO COMERCIO HOTELEIRO E SIMILARES E EM TURISMO E HOSPITALIDADE DE CASCAVEL-01-05-2026.pdf</t>
        </is>
      </c>
    </row>
    <row r="70">
      <c r="H70" t="inlineStr">
        <is>
          <t>70 - 145-CCT-SINDICATO DOS EMPREGADOS NO COMERCIO DE FCO BELTRAO - SIND DOS ESTABELECIMENTOS DE SERV FUNERARIO EST PARANA-01-06-2025.pdf</t>
        </is>
      </c>
    </row>
    <row r="71">
      <c r="H71" t="inlineStr">
        <is>
          <t>71 - 145-CCT-SINDICATO DOS EMPREGADOS NO COMERCIO DE FCO BELTRAO - SINDICATO DOS LOJISTAS E DO COMERCIO VAREJISTA DE FRANCISCO-01-06-2025.pdf</t>
        </is>
      </c>
    </row>
    <row r="72">
      <c r="H72" t="inlineStr">
        <is>
          <t>72 - 145-CCT-SINDICATO DOS EMPREGADOS NO COMERCIO DE FCO BELTRAO - SINDICATO INTERMUNICIPAL DO COMERCIO VAREJISTA DE MATERIAIS-01-06-2025.pdf</t>
        </is>
      </c>
    </row>
    <row r="73">
      <c r="H73" t="inlineStr">
        <is>
          <t>73 - 145-CCT-SINDICATO DOS EMPREGADOS NO COMERCIO DE FCO BELTRAO - SINDICATO PATRONAL DO COMERCIO VAREJISTA DE PATO BRANCO-01-06-2025.pdf</t>
        </is>
      </c>
    </row>
    <row r="74">
      <c r="H74" t="inlineStr">
        <is>
          <t>74 - 145-TA-CCT-SINDICATO DOS EMPREGADOS NO COMERCIO DE FCO BELTRAO - SINDICATO DOS LOJISTAS E DO COMERCIO VAREJISTA DE FRANCISCO-01-06-2025.pdf</t>
        </is>
      </c>
    </row>
    <row r="75">
      <c r="H75" t="inlineStr">
        <is>
          <t>75 - 145-TA-CCT-SINDICATO DOS EMPREGADOS NO COMERCIO DE FCO BELTRAO-01-06-2025.pdf</t>
        </is>
      </c>
    </row>
    <row r="76">
      <c r="H76" t="inlineStr">
        <is>
          <t>76 - 18-CCT-SINDICATO DOS TRABALHADORES EM TRANSPORTES RODOVIARIOS DE CASCAVEL - FEDERACAO DOS TRABALHADORES EM TRANSP RODOV DO EST PR e Outr-01-01-2026.pdf</t>
        </is>
      </c>
    </row>
    <row r="77">
      <c r="H77" t="inlineStr">
        <is>
          <t>77 - 18-CCT-SINDICATO DOS TRABALHADORES EM TRANSPORTES RODOVIARIOS DE CASCAVEL - FEDERACAO DOS TRABALHADORES EM TRANSP RODOV DO EST PR e Outr-01-02-2026.pdf</t>
        </is>
      </c>
    </row>
    <row r="78">
      <c r="H78" t="inlineStr">
        <is>
          <t>78 - 18-CCT-SINDICATO DOS TRABALHADORES EM TRANSPORTES RODOVIARIOS DE CASCAVEL - FEDERACAO DOS TRABALHADORES EM TRANSP RODOV DO EST PR e Outr-01-03-2025.pdf</t>
        </is>
      </c>
    </row>
    <row r="79">
      <c r="H79" t="inlineStr">
        <is>
          <t>79 - 18-CCT-SINDICATO DOS TRABALHADORES EM TRANSPORTES RODOVIARIOS DE CASCAVEL - FEDERACAO DOS TRABALHADORES EM TRANSP RODOV DO EST PR e Outr-01-06-2025.pdf</t>
        </is>
      </c>
    </row>
    <row r="80">
      <c r="H80" t="inlineStr">
        <is>
          <t>80 - 18-CCT-SINDICATO DOS TRABALHADORES EM TRANSPORTES RODOVIARIOS DE CASCAVEL-01-01-2025.pdf</t>
        </is>
      </c>
    </row>
    <row r="81">
      <c r="H81" t="inlineStr">
        <is>
          <t>81 - 18-CCT-SINDICATO DOS TRABALHADORES EM TRANSPORTES RODOVIARIOS DE CASCAVEL-01-01-2026.pdf</t>
        </is>
      </c>
    </row>
    <row r="82">
      <c r="H82" t="inlineStr">
        <is>
          <t>82 - 18-CCT-SINDICATO DOS TRABALHADORES EM TRANSPORTES RODOVIARIOS DE CASCAVEL-01-02-2026.pdf</t>
        </is>
      </c>
    </row>
    <row r="83">
      <c r="H83" t="inlineStr">
        <is>
          <t>83 - 18-CCT-SINDICATO DOS TRABALHADORES EM TRANSPORTES RODOVIARIOS DE CASCAVEL-01-03-2025.pdf</t>
        </is>
      </c>
    </row>
    <row r="84">
      <c r="H84" t="inlineStr">
        <is>
          <t>84 - 18-CCT-SINDICATO DOS TRABALHADORES EM TRANSPORTES RODOVIARIOS DE CASCAVEL-01-05-2025.pdf</t>
        </is>
      </c>
    </row>
    <row r="85">
      <c r="H85" t="inlineStr">
        <is>
          <t>85 - 18-CCT-SINDICATO DOS TRABALHADORES EM TRANSPORTES RODOVIARIOS DE CASCAVEL-01-05-2026.pdf</t>
        </is>
      </c>
    </row>
    <row r="86">
      <c r="H86" t="inlineStr">
        <is>
          <t>86 - 18-CCT-SINDICATO DOS TRABALHADORES EM TRANSPORTES RODOVIARIOS DE CASCAVEL-01-06-2025.pdf</t>
        </is>
      </c>
    </row>
    <row r="87">
      <c r="H87" t="inlineStr">
        <is>
          <t>87 - 18-CCT-SINDICATO DOS TRABALHADORES EM TRANSPORTES RODOVIARIOS DE CASCAVEL-01-07-2024.pdf</t>
        </is>
      </c>
    </row>
    <row r="88">
      <c r="H88" t="inlineStr">
        <is>
          <t>88 - 18-CCT-SINDICATO DOS TRABALHADORES EM TRANSPORTES RODOVIARIOS DE CASCAVEL-01-08-2025.pdf</t>
        </is>
      </c>
    </row>
    <row r="89">
      <c r="H89" t="inlineStr">
        <is>
          <t>89 - 18-CCT-SINDICATO DOS TRABALHADORES EM TRANSPORTES RODOVIARIOS DE CASCAVEL-01-09-2025.pdf</t>
        </is>
      </c>
    </row>
    <row r="90">
      <c r="H90" t="inlineStr">
        <is>
          <t>90 - 18-CCT-SINDICATO DOS TRABALHADORES EM TRANSPORTES RODOVIARIOS DE CASCAVEL-01-10-2025.pdf</t>
        </is>
      </c>
    </row>
    <row r="91">
      <c r="H91" t="inlineStr">
        <is>
          <t>91 - 260-CCT-SINDICATO DOS EMPREGADOS EM EMPRESAS DE ASSEIO E CONSERVACAO, LIMPEZA URBANA, LIMPEZA PUBLICA E EM GERAL, AMBIENTAL, AREAS VERDES, ZELADORIA E SERVICO - FEDERACAO DOS EMPR EMPRESAS ASSEIO CONSERV EST PARANA e Outr-01-02-2025.pdf</t>
        </is>
      </c>
    </row>
    <row r="92">
      <c r="H92" t="inlineStr">
        <is>
          <t>92 - 260-CCT-SINDICATO DOS EMPREGADOS EM EMPRESAS DE ASSEIO E CONSERVACAO, LIMPEZA URBANA, LIMPEZA PUBLICA E EM GERAL, AMBIENTAL, AREAS VERDES, ZELADORIA E SERVICO - FEDERACAO DOS EMPR EMPRESAS ASSEIO CONSERV EST PARANA e Outr-01-02-2026.pdf</t>
        </is>
      </c>
    </row>
    <row r="93">
      <c r="H93" t="inlineStr">
        <is>
          <t>93 - 260-CCT-SINDICATO DOS EMPREGADOS EM EMPRESAS DE ASSEIO E CONSERVACAO, LIMPEZA URBANA, LIMPEZA PUBLICA E EM GERAL, AMBIENTAL, AREAS VERDES, ZELADORIA E SERVICO-01-02-2025.pdf</t>
        </is>
      </c>
    </row>
    <row r="94">
      <c r="H94" t="inlineStr">
        <is>
          <t>94 - 260-CCT-SINDICATO DOS EMPREGADOS EM EMPRESAS DE ASSEIO E CONSERVACAO, LIMPEZA URBANA, LIMPEZA PUBLICA E EM GERAL, AMBIENTAL, AREAS VERDES, ZELADORIA E SERVICO-01-02-2026.pdf</t>
        </is>
      </c>
    </row>
    <row r="95">
      <c r="H95" t="inlineStr">
        <is>
          <t>95 - 260-CCT-SINDICATO DOS EMPREGADOS EM EMPRESAS DE ASSEIO E CONSERVACAO, LIMPEZA URBANA, LIMPEZA PUBLICA E EM GERAL, AMBIENTAL, AREAS VERDES, ZELADORIA E SERVICO-01-03-2026.pdf</t>
        </is>
      </c>
    </row>
    <row r="96">
      <c r="H96" t="inlineStr">
        <is>
          <t>96 - 260-TA-CCT-SINDICATO DOS EMPREGADOS EM EMPRESAS DE ASSEIO E CONSERVACAO, LIMPEZA URBANA, LIMPEZA PUBLICA E EM GERAL, AMBIENTAL, AREAS VERDES, ZELADORIA E SERVICO-01-02-2026.pdf</t>
        </is>
      </c>
    </row>
    <row r="97">
      <c r="H97" t="inlineStr">
        <is>
          <t>97 - 32-CCT-SINDICATO DOS FARMACEUTICOS NO ESTADO DO PARANA-01-03-2026.pdf</t>
        </is>
      </c>
    </row>
    <row r="98">
      <c r="H98" t="inlineStr">
        <is>
          <t>98 - 33-CCT-FEDERACAO DOS TRABALHADORES EM EMPRESAS ENQUADRADAS NO TERCEIRO GRUPO COMERCIO E EMPREGADOS EM EMPRESAS PRESTADORAS DE SERVICOS DO ESTADO DO PARANA - SINDICATO DAS EMPRESAS DE SEGURANCA PRIVADA DO ESTADO DO PAR-01-02-2026.pdf</t>
        </is>
      </c>
    </row>
    <row r="99">
      <c r="H99" t="inlineStr">
        <is>
          <t>99 - 33-CCT-FEDERACAO DOS TRABALHADORES EM EMPRESAS ENQUADRADAS NO TERCEIRO GRUPO COMERCIO E EMPREGADOS EM EMPRESAS PRESTADORAS DE SERVICOS DO ESTADO DO PARANA - SINDICATO DAS EMPRESAS DE SEGURANCA PRIVADA DO ESTADO DO PAR-01-09-2024.pdf</t>
        </is>
      </c>
    </row>
    <row r="100">
      <c r="H100" t="inlineStr">
        <is>
          <t>100 - 33-CCT-FEDERACAO DOS TRABALHADORES EM EMPRESAS ENQUADRADAS NO TERCEIRO GRUPO COMERCIO E EMPREGADOS EM EMPRESAS PRESTADORAS DE SERVICOS DO ESTADO DO PARANA-01-02-2026.pdf</t>
        </is>
      </c>
    </row>
    <row r="101">
      <c r="H101" t="inlineStr">
        <is>
          <t>101 - 33-CCT-FEDERACAO DOS TRABALHADORES EM EMPRESAS ENQUADRADAS NO TERCEIRO GRUPO COMERCIO E EMPREGADOS EM EMPRESAS PRESTADORAS DE SERVICOS DO ESTADO DO PARANA-01-05-2026.pdf</t>
        </is>
      </c>
    </row>
    <row r="102">
      <c r="H102" t="inlineStr">
        <is>
          <t>102 - 33-CCT-FEDERACAO DOS TRABALHADORES EM EMPRESAS ENQUADRADAS NO TERCEIRO GRUPO COMERCIO E EMPREGADOS EM EMPRESAS PRESTADORAS DE SERVICOS DO ESTADO DO PARANA-01-06-2026.pdf</t>
        </is>
      </c>
    </row>
    <row r="103">
      <c r="H103" t="inlineStr">
        <is>
          <t>103 - 33-CCT-FEDERACAO DOS TRABALHADORES EM EMPRESAS ENQUADRADAS NO TERCEIRO GRUPO COMERCIO E EMPREGADOS EM EMPRESAS PRESTADORAS DE SERVICOS DO ESTADO DO PARANA-01-07-2025.pdf</t>
        </is>
      </c>
    </row>
    <row r="104">
      <c r="H104" t="inlineStr">
        <is>
          <t>104 - 33-CCT-FEDERACAO DOS TRABALHADORES EM EMPRESAS ENQUADRADAS NO TERCEIRO GRUPO COMERCIO E EMPREGADOS EM EMPRESAS PRESTADORAS DE SERVICOS DO ESTADO DO PARANA-01-09-2024.pdf</t>
        </is>
      </c>
    </row>
    <row r="105">
      <c r="H105" t="inlineStr">
        <is>
          <t>105 - 33-TA-CCT-FEDERACAO DOS TRABALHADORES EM EMPRESAS ENQUADRADAS NO TERCEIRO GRUPO COMERCIO E EMPREGADOS EM EMPRESAS PRESTADORAS DE SERVICOS DO ESTADO DO PARANA - SINDICATO DAS EMPRESAS DE SEGURANCA PRIVADA DO ESTADO DO PAR-01-02-2026.pdf</t>
        </is>
      </c>
    </row>
    <row r="106">
      <c r="H106" t="inlineStr">
        <is>
          <t>106 - 33-TA-CCT-FEDERACAO DOS TRABALHADORES EM EMPRESAS ENQUADRADAS NO TERCEIRO GRUPO COMERCIO E EMPREGADOS EM EMPRESAS PRESTADORAS DE SERVICOS DO ESTADO DO PARANA-01-02-2026.pdf</t>
        </is>
      </c>
    </row>
    <row r="107">
      <c r="H107" t="inlineStr">
        <is>
          <t>107 - 335-CCT-SINDICATO DOS TRAB NAS INDS GRAF DO EST DO PARANA - FEDERACAO DAS INDUSTRIAS DO ESTADO DO PARANA-01-04-2026.pdf</t>
        </is>
      </c>
    </row>
    <row r="108">
      <c r="H108" t="inlineStr">
        <is>
          <t>108 - 335-CCT-SINDICATO DOS TRAB NAS INDS GRAF DO EST DO PARANA - SINDICATO DAS INDUSTRIAS GRAFICAS DO ESTADO DO PARANA-01-01-2026.pdf</t>
        </is>
      </c>
    </row>
    <row r="109">
      <c r="H109" t="inlineStr">
        <is>
          <t>109 - 335-CCT-SINDICATO DOS TRAB NAS INDS GRAF DO EST DO PARANA-01-01-2026.pdf</t>
        </is>
      </c>
    </row>
    <row r="110">
      <c r="H110" t="inlineStr">
        <is>
          <t>110 - 335-CCT-SINDICATO DOS TRAB NAS INDS GRAF DO EST DO PARANA-01-04-2026.pdf</t>
        </is>
      </c>
    </row>
    <row r="111">
      <c r="H111" t="inlineStr">
        <is>
          <t>111 - 336-CCT-SINDICATO DOS EMPREGADOS EM FARMACIAS, DROGARIAS, MANIP. DE MEDIC SIMILARES DE CVEL E REGIAO OESTE -SINTEFARVEL - SINDICATO DO COMERCIO VAREJ DE PRODUTOS FARMACEUTICOS DO OES-01-06-2025.pdf</t>
        </is>
      </c>
    </row>
    <row r="112">
      <c r="H112" t="inlineStr">
        <is>
          <t>112 - 336-TA-CCT-SINDICATO DOS EMPREGADOS EM FARMACIAS, DROGARIAS, MANIP. DE MEDIC SIMILARES DE CVEL E REGIAO OESTE -SINTEFARVEL - SINDICATO DO COMERCIO VAREJ DE PRODUTOS FARMACEUTICOS DO OES-30-10-2025.pdf</t>
        </is>
      </c>
    </row>
    <row r="113">
      <c r="H113" t="inlineStr">
        <is>
          <t>113 - 338-CCT-SIND DOS TRAB EM TRANSP RODOVIARIOS DE FRANC BELTRAO - FEDERACAO DOS TRABALHADORES EM TRANSP RODOV DO EST PR e Outr-01-01-2026.pdf</t>
        </is>
      </c>
    </row>
    <row r="114">
      <c r="H114" t="inlineStr">
        <is>
          <t>114 - 338-CCT-SIND DOS TRAB EM TRANSP RODOVIARIOS DE FRANC BELTRAO - FEDERACAO DOS TRABALHADORES EM TRANSP RODOV DO EST PR e Outr-01-02-2026.pdf</t>
        </is>
      </c>
    </row>
    <row r="115">
      <c r="H115" t="inlineStr">
        <is>
          <t>115 - 338-CCT-SIND DOS TRAB EM TRANSP RODOVIARIOS DE FRANC BELTRAO - FEDERACAO DOS TRABALHADORES EM TRANSP RODOV DO EST PR e Outr-01-03-2025.pdf</t>
        </is>
      </c>
    </row>
    <row r="116">
      <c r="H116" t="inlineStr">
        <is>
          <t>116 - 338-CCT-SIND DOS TRAB EM TRANSP RODOVIARIOS DE FRANC BELTRAO - FEDERACAO DOS TRABALHADORES EM TRANSP RODOV DO EST PR e Outr-01-06-2025.pdf</t>
        </is>
      </c>
    </row>
    <row r="117">
      <c r="H117" t="inlineStr">
        <is>
          <t>117 - 338-CCT-SIND DOS TRAB EM TRANSP RODOVIARIOS DE FRANC BELTRAO-01-01-2026.pdf</t>
        </is>
      </c>
    </row>
    <row r="118">
      <c r="H118" t="inlineStr">
        <is>
          <t>118 - 338-CCT-SIND DOS TRAB EM TRANSP RODOVIARIOS DE FRANC BELTRAO-01-02-2026.pdf</t>
        </is>
      </c>
    </row>
    <row r="119">
      <c r="H119" t="inlineStr">
        <is>
          <t>119 - 338-CCT-SIND DOS TRAB EM TRANSP RODOVIARIOS DE FRANC BELTRAO-01-03-2025.pdf</t>
        </is>
      </c>
    </row>
    <row r="120">
      <c r="H120" t="inlineStr">
        <is>
          <t>120 - 338-CCT-SIND DOS TRAB EM TRANSP RODOVIARIOS DE FRANC BELTRAO-01-05-2025.pdf</t>
        </is>
      </c>
    </row>
    <row r="121">
      <c r="H121" t="inlineStr">
        <is>
          <t>121 - 338-CCT-SIND DOS TRAB EM TRANSP RODOVIARIOS DE FRANC BELTRAO-01-06-2025.pdf</t>
        </is>
      </c>
    </row>
    <row r="122">
      <c r="H122" t="inlineStr">
        <is>
          <t>122 - 338-CCT-SIND DOS TRAB EM TRANSP RODOVIARIOS DE FRANC BELTRAO-01-07-2024.pdf</t>
        </is>
      </c>
    </row>
    <row r="123">
      <c r="H123" t="inlineStr">
        <is>
          <t>123 - 338-CCT-SIND DOS TRAB EM TRANSP RODOVIARIOS DE FRANC BELTRAO-01-07-2025.pdf</t>
        </is>
      </c>
    </row>
    <row r="124">
      <c r="H124" t="inlineStr">
        <is>
          <t>124 - 338-CCT-SIND DOS TRAB EM TRANSP RODOVIARIOS DE FRANC BELTRAO-01-08-2025.pdf</t>
        </is>
      </c>
    </row>
    <row r="125">
      <c r="H125" t="inlineStr">
        <is>
          <t>125 - 338-CCT-SIND DOS TRAB EM TRANSP RODOVIARIOS DE FRANC BELTRAO-01-10-2025.pdf</t>
        </is>
      </c>
    </row>
    <row r="126">
      <c r="H126" t="inlineStr">
        <is>
          <t>126 - 338-TA-CCT-SIND DOS TRAB EM TRANSP RODOVIARIOS DE FRANC BELTRAO-01-07-2025.pdf</t>
        </is>
      </c>
    </row>
    <row r="127">
      <c r="H127" t="inlineStr">
        <is>
          <t>127 - 342-CCT-SINDICATO DOS EMPREGADOS NO COMERCIO DE PONTA PORA - FEDERACAO DO COMERCIO DE BENS, SERVICOS E TURISMO DO ESTADO-01-11-2024.pdf</t>
        </is>
      </c>
    </row>
    <row r="128">
      <c r="H128" t="inlineStr">
        <is>
          <t>128 - 342-CCT-SINDICATO DOS EMPREGADOS NO COMERCIO DE PONTA PORA-01-11-2024.pdf</t>
        </is>
      </c>
    </row>
    <row r="129">
      <c r="H129" t="inlineStr">
        <is>
          <t>129 - 342-TA-CCT-SINDICATO DOS EMPREGADOS NO COMERCIO DE PONTA PORA - FEDERACAO DO COMERCIO DE BENS, SERVICOS E TURISMO DO ESTADO-01-11-2025.pdf</t>
        </is>
      </c>
    </row>
    <row r="130">
      <c r="H130" t="inlineStr">
        <is>
          <t>130 - 342-TA-CCT-SINDICATO DOS EMPREGADOS NO COMERCIO DE PONTA PORA-01-11-2025.pdf</t>
        </is>
      </c>
    </row>
    <row r="131">
      <c r="H131" t="inlineStr">
        <is>
          <t>131 - 343-CCT-SIND DOS EMP EM TURISMO EHOSPITALIDADE DE FCO BELTRAO - FEDERACAO DO COMERCIO DE BENS, SERVICOS E TURISMO DO PARANA-01-06-2025.pdf</t>
        </is>
      </c>
    </row>
    <row r="132">
      <c r="H132" t="inlineStr">
        <is>
          <t>132 - 343-CCT-SIND DOS EMP EM TURISMO EHOSPITALIDADE DE FCO BELTRAO - SINDICATO DAS EMPRESAS DE TURISMO NO ESTADO DO PARANA-01-06-2025.pdf</t>
        </is>
      </c>
    </row>
    <row r="133">
      <c r="H133" t="inlineStr">
        <is>
          <t>133 - 343-TA-CCT-SIND DOS EMP EM TURISMO EHOSPITALIDADE DE FCO BELTRAO-01-01-2026.pdf</t>
        </is>
      </c>
    </row>
    <row r="134">
      <c r="H134" t="inlineStr">
        <is>
          <t>134 - 346-CCT-SINDICATO DOS TECNICOS DE SEG DO TRAB NO EST DO PARANA - FEDERACAO DAS INDUSTRIAS DO ESTADO DO PARANA-01-01-2026.pdf</t>
        </is>
      </c>
    </row>
    <row r="135">
      <c r="H135" t="inlineStr">
        <is>
          <t>135 - 346-CCT-SINDICATO DOS TECNICOS DE SEG DO TRAB NO EST DO PARANA - SIND DAS IND METAL MECANICAS E DE MAT ELETR DE MARINGA-01-01-2026.pdf</t>
        </is>
      </c>
    </row>
    <row r="136">
      <c r="H136" t="inlineStr">
        <is>
          <t>136 - 346-CCT-SINDICATO DOS TECNICOS DE SEG DO TRAB NO EST DO PARANA - SIND INDS DE CARNES E DERIVADOS NO EST DO PR-01-01-2026.pdf</t>
        </is>
      </c>
    </row>
    <row r="137">
      <c r="H137" t="inlineStr">
        <is>
          <t>137 - 346-CCT-SINDICATO DOS TECNICOS DE SEG DO TRAB NO EST DO PARANA - SINDICATO DA INDUSTRIA DA CONSTRUCAO CIVIL DO PARANA NORTE-01-01-2026.pdf</t>
        </is>
      </c>
    </row>
    <row r="138">
      <c r="H138" t="inlineStr">
        <is>
          <t>138 - 346-CCT-SINDICATO DOS TECNICOS DE SEG DO TRAB NO EST DO PARANA - SINDICATO DAS INDUSTRIAS DA MADEIRA DE IMBITUVA-01-01-2026.pdf</t>
        </is>
      </c>
    </row>
    <row r="139">
      <c r="H139" t="inlineStr">
        <is>
          <t>139 - 346-CCT-SINDICATO DOS TECNICOS DE SEG DO TRAB NO EST DO PARANA - SINDICATO DAS INDUSTRIAS DE BEBIDAS DO ESTADO DO PARANA - SI-01-01-2026.pdf</t>
        </is>
      </c>
    </row>
    <row r="140">
      <c r="H140" t="inlineStr">
        <is>
          <t>140 - 346-CCT-SINDICATO DOS TECNICOS DE SEG DO TRAB NO EST DO PARANA - SINDICATO DAS INDUSTRIAS DE SERRARIAS, CARPINTARIAS, TANOARI-01-01-2026.pdf</t>
        </is>
      </c>
    </row>
    <row r="141">
      <c r="H141" t="inlineStr">
        <is>
          <t>141 - 346-CCT-SINDICATO DOS TECNICOS DE SEG DO TRAB NO EST DO PARANA - SINDICATO DAS INDUSTRIAS METALURGICAS, MECANICAS E DO MATERI-01-01-2026.pdf</t>
        </is>
      </c>
    </row>
    <row r="142">
      <c r="H142" t="inlineStr">
        <is>
          <t>142 - 346-CCT-SINDICATO DOS TECNICOS DE SEG DO TRAB NO EST DO PARANA - SINDICATO EMP SERV CONT ASSES PERICIAS INF PESQ EST PR-01-06-2025.pdf</t>
        </is>
      </c>
    </row>
    <row r="143">
      <c r="H143" t="inlineStr">
        <is>
          <t>143 - 346-CCT-SINDICATO DOS TECNICOS DE SEG DO TRAB NO EST DO PARANA-01-01-2026.pdf</t>
        </is>
      </c>
    </row>
    <row r="144">
      <c r="H144" t="inlineStr">
        <is>
          <t>144 - 347-CCT-SINDICATO DOS MOTORISTAS, CONDUTORES DE VEICULOS RODOVIARIOS URBANOS E EM GERAL, TRABALHADORES EM TRANSPORTES RODOVIARIOS DE DOIS VIZINHOS - SINTRODOV - FEDERACAO DOS TRABALHADORES EM TRANSP RODOV DO EST PR e Outr-01-01-2026.pdf</t>
        </is>
      </c>
    </row>
    <row r="145">
      <c r="H145" t="inlineStr">
        <is>
          <t>145 - 347-CCT-SINDICATO DOS MOTORISTAS, CONDUTORES DE VEICULOS RODOVIARIOS URBANOS E EM GERAL, TRABALHADORES EM TRANSPORTES RODOVIARIOS DE DOIS VIZINHOS - SINTRODOV - FEDERACAO DOS TRABALHADORES EM TRANSP RODOV DO EST PR e Outr-01-02-2026.pdf</t>
        </is>
      </c>
    </row>
    <row r="146">
      <c r="H146" t="inlineStr">
        <is>
          <t>146 - 347-CCT-SINDICATO DOS MOTORISTAS, CONDUTORES DE VEICULOS RODOVIARIOS URBANOS E EM GERAL, TRABALHADORES EM TRANSPORTES RODOVIARIOS DE DOIS VIZINHOS - SINTRODOV - FEDERACAO DOS TRABALHADORES EM TRANSP RODOV DO EST PR e Outr-01-03-2025.pdf</t>
        </is>
      </c>
    </row>
    <row r="147">
      <c r="H147" t="inlineStr">
        <is>
          <t>147 - 347-CCT-SINDICATO DOS MOTORISTAS, CONDUTORES DE VEICULOS RODOVIARIOS URBANOS E EM GERAL, TRABALHADORES EM TRANSPORTES RODOVIARIOS DE DOIS VIZINHOS - SINTRODOV - FEDERACAO DOS TRABALHADORES EM TRANSP RODOV DO EST PR e Outr-01-06-2025.pdf</t>
        </is>
      </c>
    </row>
    <row r="148">
      <c r="H148" t="inlineStr">
        <is>
          <t>148 - 347-CCT-SINDICATO DOS MOTORISTAS, CONDUTORES DE VEICULOS RODOVIARIOS URBANOS E EM GERAL, TRABALHADORES EM TRANSPORTES RODOVIARIOS DE DOIS VIZINHOS - SINTRODOV-01-01-2026.pdf</t>
        </is>
      </c>
    </row>
    <row r="149">
      <c r="H149" t="inlineStr">
        <is>
          <t>149 - 347-CCT-SINDICATO DOS MOTORISTAS, CONDUTORES DE VEICULOS RODOVIARIOS URBANOS E EM GERAL, TRABALHADORES EM TRANSPORTES RODOVIARIOS DE DOIS VIZINHOS - SINTRODOV-01-02-2026.pdf</t>
        </is>
      </c>
    </row>
    <row r="150">
      <c r="H150" t="inlineStr">
        <is>
          <t>150 - 347-CCT-SINDICATO DOS MOTORISTAS, CONDUTORES DE VEICULOS RODOVIARIOS URBANOS E EM GERAL, TRABALHADORES EM TRANSPORTES RODOVIARIOS DE DOIS VIZINHOS - SINTRODOV-01-03-2025.pdf</t>
        </is>
      </c>
    </row>
    <row r="151">
      <c r="H151" t="inlineStr">
        <is>
          <t>151 - 347-CCT-SINDICATO DOS MOTORISTAS, CONDUTORES DE VEICULOS RODOVIARIOS URBANOS E EM GERAL, TRABALHADORES EM TRANSPORTES RODOVIARIOS DE DOIS VIZINHOS - SINTRODOV-01-05-2025.pdf</t>
        </is>
      </c>
    </row>
    <row r="152">
      <c r="H152" t="inlineStr">
        <is>
          <t>152 - 347-CCT-SINDICATO DOS MOTORISTAS, CONDUTORES DE VEICULOS RODOVIARIOS URBANOS E EM GERAL, TRABALHADORES EM TRANSPORTES RODOVIARIOS DE DOIS VIZINHOS - SINTRODOV-01-05-2026.pdf</t>
        </is>
      </c>
    </row>
    <row r="153">
      <c r="H153" t="inlineStr">
        <is>
          <t>153 - 347-CCT-SINDICATO DOS MOTORISTAS, CONDUTORES DE VEICULOS RODOVIARIOS URBANOS E EM GERAL, TRABALHADORES EM TRANSPORTES RODOVIARIOS DE DOIS VIZINHOS - SINTRODOV-01-06-2025.pdf</t>
        </is>
      </c>
    </row>
    <row r="154">
      <c r="H154" t="inlineStr">
        <is>
          <t>154 - 347-CCT-SINDICATO DOS MOTORISTAS, CONDUTORES DE VEICULOS RODOVIARIOS URBANOS E EM GERAL, TRABALHADORES EM TRANSPORTES RODOVIARIOS DE DOIS VIZINHOS - SINTRODOV-01-06-2026.pdf</t>
        </is>
      </c>
    </row>
    <row r="155">
      <c r="H155" t="inlineStr">
        <is>
          <t>155 - 347-CCT-SINDICATO DOS MOTORISTAS, CONDUTORES DE VEICULOS RODOVIARIOS URBANOS E EM GERAL, TRABALHADORES EM TRANSPORTES RODOVIARIOS DE DOIS VIZINHOS - SINTRODOV-01-07-2024.pdf</t>
        </is>
      </c>
    </row>
    <row r="156">
      <c r="H156" t="inlineStr">
        <is>
          <t>156 - 347-CCT-SINDICATO DOS MOTORISTAS, CONDUTORES DE VEICULOS RODOVIARIOS URBANOS E EM GERAL, TRABALHADORES EM TRANSPORTES RODOVIARIOS DE DOIS VIZINHOS - SINTRODOV-01-07-2025.pdf</t>
        </is>
      </c>
    </row>
    <row r="157">
      <c r="H157" t="inlineStr">
        <is>
          <t>157 - 347-CCT-SINDICATO DOS MOTORISTAS, CONDUTORES DE VEICULOS RODOVIARIOS URBANOS E EM GERAL, TRABALHADORES EM TRANSPORTES RODOVIARIOS DE DOIS VIZINHOS - SINTRODOV-01-08-2025.pdf</t>
        </is>
      </c>
    </row>
    <row r="158">
      <c r="H158" t="inlineStr">
        <is>
          <t>158 - 347-CCT-SINDICATO DOS MOTORISTAS, CONDUTORES DE VEICULOS RODOVIARIOS URBANOS E EM GERAL, TRABALHADORES EM TRANSPORTES RODOVIARIOS DE DOIS VIZINHOS - SINTRODOV-01-09-2025.pdf</t>
        </is>
      </c>
    </row>
    <row r="159">
      <c r="H159" t="inlineStr">
        <is>
          <t>159 - 347-CCT-SINDICATO DOS MOTORISTAS, CONDUTORES DE VEICULOS RODOVIARIOS URBANOS E EM GERAL, TRABALHADORES EM TRANSPORTES RODOVIARIOS DE DOIS VIZINHOS - SINTRODOV-01-10-2025.pdf</t>
        </is>
      </c>
    </row>
    <row r="160">
      <c r="H160" t="inlineStr">
        <is>
          <t>160 - 347-TA-CCT-SINDICATO DOS MOTORISTAS, CONDUTORES DE VEICULOS RODOVIARIOS URBANOS E EM GERAL, TRABALHADORES EM TRANSPORTES RODOVIARIOS DE DOIS VIZINHOS - SINTRODOV-01-05-2025.pdf</t>
        </is>
      </c>
    </row>
    <row r="161">
      <c r="H161" t="inlineStr">
        <is>
          <t>161 - 348-CCT-SINDICATO DOS ARQUITETOS E URBANISTAS NO ESTADO DO PARANA - SINDARQ-PR - SIND TRAB EMP SERV CONT ASS PER INF PESQ EMP PREST SERV e Ou-01-05-2026.pdf</t>
        </is>
      </c>
    </row>
    <row r="162">
      <c r="H162" t="inlineStr">
        <is>
          <t>162 - 348-CCT-SINDICATO DOS ARQUITETOS E URBANISTAS NO ESTADO DO PARANA - SINDARQ-PR - SINDICATO DOS ENGENHEIROS NO ESTADO DO PARANA e Outros-01-06-2025.pdf</t>
        </is>
      </c>
    </row>
    <row r="163">
      <c r="H163" t="inlineStr">
        <is>
          <t>163 - 348-CCT-SINDICATO DOS ARQUITETOS E URBANISTAS NO ESTADO DO PARANA - SINDARQ-PR-01-05-2026.pdf</t>
        </is>
      </c>
    </row>
    <row r="164">
      <c r="H164" t="inlineStr">
        <is>
          <t>164 - 348-TA-CCT-SINDICATO DOS ARQUITETOS E URBANISTAS NO ESTADO DO PARANA - SINDARQ-PR - SIND TRAB EMP SERV CONT ASS PER INF PESQ EMP PREST SERV e Ou-01-06-2025.pdf</t>
        </is>
      </c>
    </row>
    <row r="165">
      <c r="H165" t="inlineStr">
        <is>
          <t>165 - 354-CCT-SINDICATO DOS EMP NO COM DE ASSIS CHATEAUBRIAND - SINDICATO INTERMUNICIPAL DO COMERCIO VAREJISTA DE MATERIAIS-01-06-2025.pdf</t>
        </is>
      </c>
    </row>
    <row r="166">
      <c r="H166" t="inlineStr">
        <is>
          <t>166 - 355-CCT-SIND TRAB EMP SERV CONT ASS PER INF PESQ EMP PREST SERV - SIND NACIONAL EMPR ARQUITETURA E ENGENHARIA CONSULTIVA-01-05-2026.pdf</t>
        </is>
      </c>
    </row>
    <row r="167">
      <c r="H167" t="inlineStr">
        <is>
          <t>167 - 355-CCT-SIND TRAB EMP SERV CONT ASS PER INF PESQ EMP PREST SERV - SINDICATO DOS ENGENHEIROS NO ESTADO DO PARANA e Outros-01-06-2025.pdf</t>
        </is>
      </c>
    </row>
    <row r="168">
      <c r="H168" t="inlineStr">
        <is>
          <t>168 - 355-CCT-SIND TRAB EMP SERV CONT ASS PER INF PESQ EMP PREST SERV-01-05-2026.pdf</t>
        </is>
      </c>
    </row>
    <row r="169">
      <c r="H169" t="inlineStr">
        <is>
          <t>169 - 355-CCT-SIND TRAB EMP SERV CONT ASS PER INF PESQ EMP PREST SERV-01-06-2026.pdf</t>
        </is>
      </c>
    </row>
    <row r="170">
      <c r="H170" t="inlineStr">
        <is>
          <t>170 - 355-CCT-SIND TRAB EMP SERV CONT ASS PER INF PESQ EMP PREST SERV-01-07-2025.pdf</t>
        </is>
      </c>
    </row>
    <row r="171">
      <c r="H171" t="inlineStr">
        <is>
          <t>171 - 355-TA-CCT-SIND TRAB EMP SERV CONT ASS PER INF PESQ EMP PREST SERV - SIND NACIONAL EMPR ARQUITETURA E ENGENHARIA CONSULTIVA-01-06-2025.pdf</t>
        </is>
      </c>
    </row>
    <row r="172">
      <c r="H172" t="inlineStr">
        <is>
          <t>172 - 355-TA-CCT-SIND TRAB EMP SERV CONT ASS PER INF PESQ EMP PREST SERV-01-03-2025.pdf</t>
        </is>
      </c>
    </row>
    <row r="173">
      <c r="H173" t="inlineStr">
        <is>
          <t>173 - 355-TA-CCT-SIND TRAB EMP SERV CONT ASS PER INF PESQ EMP PREST SERV-01-06-2025.pdf</t>
        </is>
      </c>
    </row>
    <row r="174">
      <c r="H174" t="inlineStr">
        <is>
          <t>174 - 355-TA-CCT-SIND TRAB EMP SERV CONT ASS PER INF PESQ EMP PREST SERV-01-07-2024.pdf</t>
        </is>
      </c>
    </row>
    <row r="175">
      <c r="H175" t="inlineStr">
        <is>
          <t>175 - 355-TA-CCT-SIND TRAB EMP SERV CONT ASS PER INF PESQ EMP PREST SERV-08-06-2026.pdf</t>
        </is>
      </c>
    </row>
    <row r="176">
      <c r="H176" t="inlineStr">
        <is>
          <t>176 - 355-TA-CCT-SIND TRAB EMP SERV CONT ASS PER INF PESQ EMP PREST SERV-21-01-2026.pdf</t>
        </is>
      </c>
    </row>
    <row r="177">
      <c r="H177" t="inlineStr">
        <is>
          <t>177 - 356-TA-CCT-SIND DOS MOT COND DE VEIC ROD, URB E EM GERAL - TRAB EM TRANS ROD DE CAFEL, FSA DO OESTE, GOIOERE, IRACEMA, JESUITAS, N. AURORA, QRTO CENT - PR - SETCEPAR - SINDICATO DAS EMPRESAS DE TRANSPORTES DE CARGAS N-01-05-2025.pdf</t>
        </is>
      </c>
    </row>
    <row r="178">
      <c r="H178" t="inlineStr">
        <is>
          <t>178 - 357-CCT-SIND TRAB IND CONSTR ESTR PAV MONT TER PUB PRIV EST PR - SINDICATO DA INDUSTRIA DA CONSTRUCAO PESADA DO ESTADO DO PAR-01-06-2025.pdf</t>
        </is>
      </c>
    </row>
    <row r="179">
      <c r="H179" t="inlineStr">
        <is>
          <t>179 - 357-TA-CCT-SIND TRAB IND CONSTR ESTR PAV MONT TER PUB PRIV EST PR-01-12-2025.pdf</t>
        </is>
      </c>
    </row>
  </sheetData>
  <mergeCells count="6">
    <mergeCell ref="A24:F24"/>
    <mergeCell ref="A2:F2"/>
    <mergeCell ref="A1:F1"/>
    <mergeCell ref="A23:F23"/>
    <mergeCell ref="A22:F22"/>
    <mergeCell ref="A4:F4"/>
  </mergeCells>
  <dataValidations count="1">
    <dataValidation sqref="B5" showDropDown="0" showInputMessage="0" showErrorMessage="0" allowBlank="1" errorTitle="Seleção inválida" error="Selecione uma convenção da lista" type="list">
      <formula1>$H$1:$H$179</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2026-06-24T20:57:05Z</dcterms:created>
  <dcterms:modified xmlns:dcterms="http://purl.org/dc/terms/" xmlns:xsi="http://www.w3.org/2001/XMLSchema-instance" xsi:type="dcterms:W3CDTF">2026-06-24T20:57:06Z</dcterms:modified>
</cp:coreProperties>
</file>